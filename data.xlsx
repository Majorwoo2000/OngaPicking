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_wu\Desktop\MJR_Onga\4.新規システム\0-4.商品検索地図システム\"/>
    </mc:Choice>
  </mc:AlternateContent>
  <xr:revisionPtr revIDLastSave="0" documentId="13_ncr:1_{51AA139F-29ED-4715-9C85-48C19B33CF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商品データ" sheetId="15" r:id="rId1"/>
  </sheets>
  <externalReferences>
    <externalReference r:id="rId2"/>
    <externalReference r:id="rId3"/>
  </externalReferences>
  <definedNames>
    <definedName name="_xlnm._FilterDatabase" localSheetId="0" hidden="1">商品データ!$A$1:$G$1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24" i="15" l="1"/>
  <c r="D824" i="15" s="1"/>
  <c r="E825" i="15"/>
  <c r="E826" i="15"/>
  <c r="G826" i="15"/>
  <c r="E827" i="15"/>
  <c r="G827" i="15"/>
  <c r="E828" i="15"/>
  <c r="G828" i="15"/>
  <c r="E829" i="15"/>
  <c r="G829" i="15"/>
  <c r="E830" i="15"/>
  <c r="D830" i="15" s="1"/>
  <c r="G830" i="15"/>
  <c r="E831" i="15"/>
  <c r="D831" i="15" s="1"/>
  <c r="E832" i="15"/>
  <c r="D832" i="15" s="1"/>
  <c r="G832" i="15"/>
  <c r="E833" i="15"/>
  <c r="G833" i="15" s="1"/>
  <c r="E834" i="15"/>
  <c r="D834" i="15" s="1"/>
  <c r="E835" i="15"/>
  <c r="D835" i="15" s="1"/>
  <c r="G835" i="15"/>
  <c r="B824" i="15"/>
  <c r="B825" i="15"/>
  <c r="B826" i="15"/>
  <c r="B827" i="15"/>
  <c r="B828" i="15"/>
  <c r="B829" i="15"/>
  <c r="B830" i="15"/>
  <c r="B831" i="15"/>
  <c r="B832" i="15"/>
  <c r="B833" i="15"/>
  <c r="B834" i="15"/>
  <c r="B835" i="15"/>
  <c r="E823" i="15"/>
  <c r="D823" i="15" s="1"/>
  <c r="B823" i="15"/>
  <c r="E820" i="15"/>
  <c r="G820" i="15"/>
  <c r="E821" i="15"/>
  <c r="D821" i="15" s="1"/>
  <c r="G821" i="15"/>
  <c r="E822" i="15"/>
  <c r="G822" i="15"/>
  <c r="D820" i="15"/>
  <c r="D822" i="15"/>
  <c r="B820" i="15"/>
  <c r="B821" i="15"/>
  <c r="B822" i="15"/>
  <c r="B24" i="15"/>
  <c r="E24" i="15"/>
  <c r="G24" i="15" s="1"/>
  <c r="E524" i="15"/>
  <c r="G524" i="15" s="1"/>
  <c r="E525" i="15"/>
  <c r="G525" i="15" s="1"/>
  <c r="E579" i="15"/>
  <c r="G579" i="15" s="1"/>
  <c r="E580" i="15"/>
  <c r="E581" i="15"/>
  <c r="G581" i="15" s="1"/>
  <c r="E582" i="15"/>
  <c r="G582" i="15" s="1"/>
  <c r="E583" i="15"/>
  <c r="G583" i="15" s="1"/>
  <c r="E584" i="15"/>
  <c r="G584" i="15" s="1"/>
  <c r="E585" i="15"/>
  <c r="G585" i="15" s="1"/>
  <c r="E805" i="15"/>
  <c r="G805" i="15" s="1"/>
  <c r="E428" i="15"/>
  <c r="G428" i="15" s="1"/>
  <c r="E429" i="15"/>
  <c r="E430" i="15"/>
  <c r="G430" i="15" s="1"/>
  <c r="E431" i="15"/>
  <c r="G431" i="15" s="1"/>
  <c r="E434" i="15"/>
  <c r="G434" i="15" s="1"/>
  <c r="E527" i="15"/>
  <c r="E578" i="15"/>
  <c r="E432" i="15"/>
  <c r="G432" i="15" s="1"/>
  <c r="E433" i="15"/>
  <c r="G433" i="15" s="1"/>
  <c r="E435" i="15"/>
  <c r="G435" i="15" s="1"/>
  <c r="E541" i="15"/>
  <c r="G541" i="15" s="1"/>
  <c r="E540" i="15"/>
  <c r="G540" i="15" s="1"/>
  <c r="E542" i="15"/>
  <c r="G542" i="15" s="1"/>
  <c r="E543" i="15"/>
  <c r="E559" i="15"/>
  <c r="G559" i="15" s="1"/>
  <c r="E544" i="15"/>
  <c r="G544" i="15" s="1"/>
  <c r="E556" i="15"/>
  <c r="G556" i="15" s="1"/>
  <c r="E557" i="15"/>
  <c r="E644" i="15"/>
  <c r="E645" i="15"/>
  <c r="G645" i="15" s="1"/>
  <c r="E637" i="15"/>
  <c r="G637" i="15" s="1"/>
  <c r="E647" i="15"/>
  <c r="G647" i="15" s="1"/>
  <c r="E641" i="15"/>
  <c r="G641" i="15" s="1"/>
  <c r="E632" i="15"/>
  <c r="G632" i="15" s="1"/>
  <c r="E629" i="15"/>
  <c r="G629" i="15" s="1"/>
  <c r="E633" i="15"/>
  <c r="E628" i="15"/>
  <c r="G628" i="15" s="1"/>
  <c r="E798" i="15"/>
  <c r="G798" i="15" s="1"/>
  <c r="E608" i="15"/>
  <c r="G608" i="15" s="1"/>
  <c r="E601" i="15"/>
  <c r="E607" i="15"/>
  <c r="E604" i="15"/>
  <c r="G604" i="15" s="1"/>
  <c r="E598" i="15"/>
  <c r="G598" i="15" s="1"/>
  <c r="E605" i="15"/>
  <c r="G605" i="15" s="1"/>
  <c r="E530" i="15"/>
  <c r="G530" i="15" s="1"/>
  <c r="E529" i="15"/>
  <c r="G529" i="15" s="1"/>
  <c r="E531" i="15"/>
  <c r="G531" i="15" s="1"/>
  <c r="E532" i="15"/>
  <c r="E534" i="15"/>
  <c r="G534" i="15" s="1"/>
  <c r="E533" i="15"/>
  <c r="G533" i="15" s="1"/>
  <c r="E528" i="15"/>
  <c r="G528" i="15" s="1"/>
  <c r="E551" i="15"/>
  <c r="E553" i="15"/>
  <c r="E552" i="15"/>
  <c r="G552" i="15" s="1"/>
  <c r="E554" i="15"/>
  <c r="G554" i="15" s="1"/>
  <c r="E558" i="15"/>
  <c r="G558" i="15" s="1"/>
  <c r="E555" i="15"/>
  <c r="G555" i="15" s="1"/>
  <c r="E569" i="15"/>
  <c r="G569" i="15" s="1"/>
  <c r="E653" i="15"/>
  <c r="G653" i="15" s="1"/>
  <c r="E536" i="15"/>
  <c r="E535" i="15"/>
  <c r="G535" i="15" s="1"/>
  <c r="E538" i="15"/>
  <c r="G538" i="15" s="1"/>
  <c r="E537" i="15"/>
  <c r="G537" i="15" s="1"/>
  <c r="E545" i="15"/>
  <c r="E539" i="15"/>
  <c r="E546" i="15"/>
  <c r="G546" i="15" s="1"/>
  <c r="E547" i="15"/>
  <c r="G547" i="15" s="1"/>
  <c r="E550" i="15"/>
  <c r="G550" i="15" s="1"/>
  <c r="E549" i="15"/>
  <c r="G549" i="15" s="1"/>
  <c r="E548" i="15"/>
  <c r="G548" i="15" s="1"/>
  <c r="E563" i="15"/>
  <c r="G563" i="15" s="1"/>
  <c r="E562" i="15"/>
  <c r="E561" i="15"/>
  <c r="G561" i="15" s="1"/>
  <c r="E565" i="15"/>
  <c r="G565" i="15" s="1"/>
  <c r="E564" i="15"/>
  <c r="G564" i="15" s="1"/>
  <c r="E566" i="15"/>
  <c r="E567" i="15"/>
  <c r="E560" i="15"/>
  <c r="G560" i="15" s="1"/>
  <c r="E568" i="15"/>
  <c r="G568" i="15" s="1"/>
  <c r="E576" i="15"/>
  <c r="G576" i="15" s="1"/>
  <c r="E577" i="15"/>
  <c r="G577" i="15" s="1"/>
  <c r="E575" i="15"/>
  <c r="G575" i="15" s="1"/>
  <c r="E574" i="15"/>
  <c r="G574" i="15" s="1"/>
  <c r="E572" i="15"/>
  <c r="E573" i="15"/>
  <c r="G573" i="15" s="1"/>
  <c r="E571" i="15"/>
  <c r="G571" i="15" s="1"/>
  <c r="E570" i="15"/>
  <c r="G570" i="15" s="1"/>
  <c r="E639" i="15"/>
  <c r="E638" i="15"/>
  <c r="E635" i="15"/>
  <c r="G635" i="15" s="1"/>
  <c r="E634" i="15"/>
  <c r="G634" i="15" s="1"/>
  <c r="E643" i="15"/>
  <c r="G643" i="15" s="1"/>
  <c r="E623" i="15"/>
  <c r="G623" i="15" s="1"/>
  <c r="E627" i="15"/>
  <c r="G627" i="15" s="1"/>
  <c r="E646" i="15"/>
  <c r="G646" i="15" s="1"/>
  <c r="E631" i="15"/>
  <c r="E630" i="15"/>
  <c r="G630" i="15" s="1"/>
  <c r="E648" i="15"/>
  <c r="G648" i="15" s="1"/>
  <c r="E599" i="15"/>
  <c r="G599" i="15" s="1"/>
  <c r="E603" i="15"/>
  <c r="E602" i="15"/>
  <c r="E606" i="15"/>
  <c r="G606" i="15" s="1"/>
  <c r="B526" i="15"/>
  <c r="B524" i="15"/>
  <c r="B525" i="15"/>
  <c r="D525" i="15" s="1"/>
  <c r="B579" i="15"/>
  <c r="D579" i="15" s="1"/>
  <c r="B580" i="15"/>
  <c r="B581" i="15"/>
  <c r="D581" i="15" s="1"/>
  <c r="B582" i="15"/>
  <c r="B583" i="15"/>
  <c r="D583" i="15" s="1"/>
  <c r="B584" i="15"/>
  <c r="D584" i="15" s="1"/>
  <c r="B585" i="15"/>
  <c r="D585" i="15" s="1"/>
  <c r="B805" i="15"/>
  <c r="D805" i="15" s="1"/>
  <c r="B428" i="15"/>
  <c r="D428" i="15" s="1"/>
  <c r="B429" i="15"/>
  <c r="B430" i="15"/>
  <c r="B431" i="15"/>
  <c r="D431" i="15" s="1"/>
  <c r="B434" i="15"/>
  <c r="D434" i="15" s="1"/>
  <c r="B527" i="15"/>
  <c r="B578" i="15"/>
  <c r="B432" i="15"/>
  <c r="B433" i="15"/>
  <c r="D433" i="15" s="1"/>
  <c r="B435" i="15"/>
  <c r="D435" i="15" s="1"/>
  <c r="B541" i="15"/>
  <c r="D541" i="15" s="1"/>
  <c r="B540" i="15"/>
  <c r="D540" i="15" s="1"/>
  <c r="B542" i="15"/>
  <c r="D542" i="15" s="1"/>
  <c r="B543" i="15"/>
  <c r="B559" i="15"/>
  <c r="B544" i="15"/>
  <c r="D544" i="15" s="1"/>
  <c r="B556" i="15"/>
  <c r="D556" i="15" s="1"/>
  <c r="B557" i="15"/>
  <c r="B644" i="15"/>
  <c r="B645" i="15"/>
  <c r="B637" i="15"/>
  <c r="D637" i="15" s="1"/>
  <c r="B647" i="15"/>
  <c r="D647" i="15" s="1"/>
  <c r="B641" i="15"/>
  <c r="D641" i="15" s="1"/>
  <c r="B632" i="15"/>
  <c r="D632" i="15" s="1"/>
  <c r="B629" i="15"/>
  <c r="D629" i="15" s="1"/>
  <c r="B633" i="15"/>
  <c r="B628" i="15"/>
  <c r="B798" i="15"/>
  <c r="D798" i="15" s="1"/>
  <c r="B608" i="15"/>
  <c r="D608" i="15" s="1"/>
  <c r="B601" i="15"/>
  <c r="B607" i="15"/>
  <c r="B604" i="15"/>
  <c r="B598" i="15"/>
  <c r="D598" i="15" s="1"/>
  <c r="B605" i="15"/>
  <c r="D605" i="15" s="1"/>
  <c r="B530" i="15"/>
  <c r="D530" i="15" s="1"/>
  <c r="B529" i="15"/>
  <c r="D529" i="15" s="1"/>
  <c r="B531" i="15"/>
  <c r="D531" i="15" s="1"/>
  <c r="B532" i="15"/>
  <c r="B534" i="15"/>
  <c r="B533" i="15"/>
  <c r="D533" i="15" s="1"/>
  <c r="B528" i="15"/>
  <c r="D528" i="15" s="1"/>
  <c r="B551" i="15"/>
  <c r="B553" i="15"/>
  <c r="B552" i="15"/>
  <c r="B554" i="15"/>
  <c r="D554" i="15" s="1"/>
  <c r="B558" i="15"/>
  <c r="D558" i="15" s="1"/>
  <c r="B555" i="15"/>
  <c r="D555" i="15" s="1"/>
  <c r="B569" i="15"/>
  <c r="D569" i="15" s="1"/>
  <c r="B653" i="15"/>
  <c r="D653" i="15" s="1"/>
  <c r="B536" i="15"/>
  <c r="B535" i="15"/>
  <c r="B538" i="15"/>
  <c r="D538" i="15" s="1"/>
  <c r="B537" i="15"/>
  <c r="D537" i="15" s="1"/>
  <c r="B545" i="15"/>
  <c r="B539" i="15"/>
  <c r="B546" i="15"/>
  <c r="B547" i="15"/>
  <c r="D547" i="15" s="1"/>
  <c r="B550" i="15"/>
  <c r="D550" i="15" s="1"/>
  <c r="B549" i="15"/>
  <c r="D549" i="15" s="1"/>
  <c r="B548" i="15"/>
  <c r="D548" i="15" s="1"/>
  <c r="B563" i="15"/>
  <c r="D563" i="15" s="1"/>
  <c r="B562" i="15"/>
  <c r="B561" i="15"/>
  <c r="B565" i="15"/>
  <c r="D565" i="15" s="1"/>
  <c r="B564" i="15"/>
  <c r="D564" i="15" s="1"/>
  <c r="B566" i="15"/>
  <c r="B567" i="15"/>
  <c r="B560" i="15"/>
  <c r="B568" i="15"/>
  <c r="D568" i="15" s="1"/>
  <c r="B576" i="15"/>
  <c r="D576" i="15" s="1"/>
  <c r="B577" i="15"/>
  <c r="D577" i="15" s="1"/>
  <c r="B575" i="15"/>
  <c r="D575" i="15" s="1"/>
  <c r="B574" i="15"/>
  <c r="D574" i="15" s="1"/>
  <c r="B572" i="15"/>
  <c r="B573" i="15"/>
  <c r="B571" i="15"/>
  <c r="D571" i="15" s="1"/>
  <c r="B570" i="15"/>
  <c r="D570" i="15" s="1"/>
  <c r="B639" i="15"/>
  <c r="B638" i="15"/>
  <c r="B635" i="15"/>
  <c r="B634" i="15"/>
  <c r="D634" i="15" s="1"/>
  <c r="B643" i="15"/>
  <c r="D643" i="15" s="1"/>
  <c r="B623" i="15"/>
  <c r="D623" i="15" s="1"/>
  <c r="B627" i="15"/>
  <c r="D627" i="15" s="1"/>
  <c r="B646" i="15"/>
  <c r="D646" i="15" s="1"/>
  <c r="B631" i="15"/>
  <c r="B630" i="15"/>
  <c r="B648" i="15"/>
  <c r="D648" i="15" s="1"/>
  <c r="B599" i="15"/>
  <c r="D599" i="15" s="1"/>
  <c r="B603" i="15"/>
  <c r="B602" i="15"/>
  <c r="B606" i="15"/>
  <c r="E526" i="15"/>
  <c r="G526" i="15" s="1"/>
  <c r="E611" i="15"/>
  <c r="G611" i="15" s="1"/>
  <c r="E612" i="15"/>
  <c r="G612" i="15" s="1"/>
  <c r="E614" i="15"/>
  <c r="G614" i="15" s="1"/>
  <c r="E615" i="15"/>
  <c r="G615" i="15" s="1"/>
  <c r="E616" i="15"/>
  <c r="G616" i="15" s="1"/>
  <c r="E617" i="15"/>
  <c r="G617" i="15" s="1"/>
  <c r="E618" i="15"/>
  <c r="G618" i="15" s="1"/>
  <c r="E619" i="15"/>
  <c r="G619" i="15" s="1"/>
  <c r="E620" i="15"/>
  <c r="G620" i="15" s="1"/>
  <c r="E624" i="15"/>
  <c r="G624" i="15" s="1"/>
  <c r="E625" i="15"/>
  <c r="G625" i="15" s="1"/>
  <c r="E626" i="15"/>
  <c r="G626" i="15" s="1"/>
  <c r="E649" i="15"/>
  <c r="G649" i="15" s="1"/>
  <c r="E650" i="15"/>
  <c r="G650" i="15" s="1"/>
  <c r="E651" i="15"/>
  <c r="G651" i="15" s="1"/>
  <c r="E652" i="15"/>
  <c r="G652" i="15" s="1"/>
  <c r="E654" i="15"/>
  <c r="G654" i="15" s="1"/>
  <c r="E655" i="15"/>
  <c r="G655" i="15" s="1"/>
  <c r="E656" i="15"/>
  <c r="G656" i="15" s="1"/>
  <c r="E657" i="15"/>
  <c r="G657" i="15" s="1"/>
  <c r="E668" i="15"/>
  <c r="G668" i="15" s="1"/>
  <c r="E669" i="15"/>
  <c r="G669" i="15" s="1"/>
  <c r="E670" i="15"/>
  <c r="G670" i="15" s="1"/>
  <c r="E722" i="15"/>
  <c r="G722" i="15" s="1"/>
  <c r="E723" i="15"/>
  <c r="G723" i="15" s="1"/>
  <c r="E724" i="15"/>
  <c r="G724" i="15" s="1"/>
  <c r="E725" i="15"/>
  <c r="G725" i="15" s="1"/>
  <c r="E726" i="15"/>
  <c r="G726" i="15" s="1"/>
  <c r="E727" i="15"/>
  <c r="G727" i="15" s="1"/>
  <c r="E728" i="15"/>
  <c r="G728" i="15" s="1"/>
  <c r="E729" i="15"/>
  <c r="G729" i="15" s="1"/>
  <c r="E755" i="15"/>
  <c r="G755" i="15" s="1"/>
  <c r="E806" i="15"/>
  <c r="G806" i="15" s="1"/>
  <c r="E807" i="15"/>
  <c r="G807" i="15" s="1"/>
  <c r="E808" i="15"/>
  <c r="G808" i="15" s="1"/>
  <c r="E809" i="15"/>
  <c r="G809" i="15" s="1"/>
  <c r="E810" i="15"/>
  <c r="G810" i="15" s="1"/>
  <c r="E811" i="15"/>
  <c r="G811" i="15" s="1"/>
  <c r="E812" i="15"/>
  <c r="G812" i="15" s="1"/>
  <c r="E813" i="15"/>
  <c r="G813" i="15" s="1"/>
  <c r="E814" i="15"/>
  <c r="G814" i="15" s="1"/>
  <c r="E815" i="15"/>
  <c r="G815" i="15" s="1"/>
  <c r="E436" i="15"/>
  <c r="G436" i="15" s="1"/>
  <c r="E437" i="15"/>
  <c r="G437" i="15" s="1"/>
  <c r="E438" i="15"/>
  <c r="G438" i="15" s="1"/>
  <c r="E494" i="15"/>
  <c r="G494" i="15" s="1"/>
  <c r="E495" i="15"/>
  <c r="G495" i="15" s="1"/>
  <c r="E596" i="15"/>
  <c r="G596" i="15" s="1"/>
  <c r="B611" i="15"/>
  <c r="D611" i="15" s="1"/>
  <c r="B612" i="15"/>
  <c r="B614" i="15"/>
  <c r="B615" i="15"/>
  <c r="B616" i="15"/>
  <c r="B617" i="15"/>
  <c r="B618" i="15"/>
  <c r="D618" i="15" s="1"/>
  <c r="B619" i="15"/>
  <c r="B620" i="15"/>
  <c r="B624" i="15"/>
  <c r="D624" i="15" s="1"/>
  <c r="B625" i="15"/>
  <c r="D625" i="15" s="1"/>
  <c r="B626" i="15"/>
  <c r="D626" i="15" s="1"/>
  <c r="B649" i="15"/>
  <c r="D649" i="15" s="1"/>
  <c r="B650" i="15"/>
  <c r="B651" i="15"/>
  <c r="B652" i="15"/>
  <c r="B654" i="15"/>
  <c r="B655" i="15"/>
  <c r="B656" i="15"/>
  <c r="D656" i="15" s="1"/>
  <c r="B657" i="15"/>
  <c r="B668" i="15"/>
  <c r="B669" i="15"/>
  <c r="B670" i="15"/>
  <c r="B722" i="15"/>
  <c r="D722" i="15" s="1"/>
  <c r="B723" i="15"/>
  <c r="D723" i="15" s="1"/>
  <c r="B724" i="15"/>
  <c r="B725" i="15"/>
  <c r="B726" i="15"/>
  <c r="B727" i="15"/>
  <c r="B728" i="15"/>
  <c r="B729" i="15"/>
  <c r="D729" i="15" s="1"/>
  <c r="B755" i="15"/>
  <c r="B806" i="15"/>
  <c r="B807" i="15"/>
  <c r="D807" i="15" s="1"/>
  <c r="B808" i="15"/>
  <c r="B809" i="15"/>
  <c r="D809" i="15" s="1"/>
  <c r="B810" i="15"/>
  <c r="D810" i="15" s="1"/>
  <c r="B811" i="15"/>
  <c r="B812" i="15"/>
  <c r="B813" i="15"/>
  <c r="B814" i="15"/>
  <c r="B815" i="15"/>
  <c r="B436" i="15"/>
  <c r="D436" i="15" s="1"/>
  <c r="B437" i="15"/>
  <c r="B438" i="15"/>
  <c r="B494" i="15"/>
  <c r="B495" i="15"/>
  <c r="D495" i="15" s="1"/>
  <c r="B596" i="15"/>
  <c r="E693" i="15"/>
  <c r="E692" i="15"/>
  <c r="G692" i="15" s="1"/>
  <c r="E695" i="15"/>
  <c r="G695" i="15" s="1"/>
  <c r="E694" i="15"/>
  <c r="G694" i="15" s="1"/>
  <c r="E595" i="15"/>
  <c r="G595" i="15" s="1"/>
  <c r="E717" i="15"/>
  <c r="E716" i="15"/>
  <c r="G716" i="15" s="1"/>
  <c r="E594" i="15"/>
  <c r="E600" i="15"/>
  <c r="E640" i="15"/>
  <c r="G640" i="15" s="1"/>
  <c r="E636" i="15"/>
  <c r="E691" i="15"/>
  <c r="G691" i="15" s="1"/>
  <c r="G693" i="15"/>
  <c r="E225" i="15"/>
  <c r="G225" i="15" s="1"/>
  <c r="E226" i="15"/>
  <c r="G226" i="15" s="1"/>
  <c r="E227" i="15"/>
  <c r="G227" i="15" s="1"/>
  <c r="E610" i="15"/>
  <c r="G610" i="15" s="1"/>
  <c r="B610" i="15"/>
  <c r="B691" i="15"/>
  <c r="B693" i="15"/>
  <c r="B692" i="15"/>
  <c r="B695" i="15"/>
  <c r="B694" i="15"/>
  <c r="B595" i="15"/>
  <c r="B717" i="15"/>
  <c r="B716" i="15"/>
  <c r="B594" i="15"/>
  <c r="B600" i="15"/>
  <c r="B640" i="15"/>
  <c r="B636" i="15"/>
  <c r="B225" i="15"/>
  <c r="B226" i="15"/>
  <c r="B227" i="15"/>
  <c r="E341" i="15"/>
  <c r="G341" i="15" s="1"/>
  <c r="E342" i="15"/>
  <c r="G342" i="15" s="1"/>
  <c r="E343" i="15"/>
  <c r="G343" i="15" s="1"/>
  <c r="E344" i="15"/>
  <c r="G344" i="15" s="1"/>
  <c r="E345" i="15"/>
  <c r="E346" i="15"/>
  <c r="G346" i="15" s="1"/>
  <c r="B341" i="15"/>
  <c r="B342" i="15"/>
  <c r="B343" i="15"/>
  <c r="B344" i="15"/>
  <c r="B345" i="15"/>
  <c r="B346" i="15"/>
  <c r="E385" i="15"/>
  <c r="G385" i="15" s="1"/>
  <c r="E386" i="15"/>
  <c r="G386" i="15" s="1"/>
  <c r="E387" i="15"/>
  <c r="G387" i="15" s="1"/>
  <c r="E389" i="15"/>
  <c r="G389" i="15" s="1"/>
  <c r="E391" i="15"/>
  <c r="G391" i="15" s="1"/>
  <c r="E388" i="15"/>
  <c r="G388" i="15" s="1"/>
  <c r="E392" i="15"/>
  <c r="G392" i="15" s="1"/>
  <c r="E393" i="15"/>
  <c r="G393" i="15" s="1"/>
  <c r="E395" i="15"/>
  <c r="E394" i="15"/>
  <c r="G394" i="15" s="1"/>
  <c r="E390" i="15"/>
  <c r="G390" i="15" s="1"/>
  <c r="E666" i="15"/>
  <c r="G666" i="15" s="1"/>
  <c r="E699" i="15"/>
  <c r="G699" i="15" s="1"/>
  <c r="E665" i="15"/>
  <c r="G665" i="15" s="1"/>
  <c r="E667" i="15"/>
  <c r="G667" i="15" s="1"/>
  <c r="E718" i="15"/>
  <c r="G718" i="15" s="1"/>
  <c r="E700" i="15"/>
  <c r="G700" i="15" s="1"/>
  <c r="E704" i="15"/>
  <c r="G704" i="15" s="1"/>
  <c r="E677" i="15"/>
  <c r="G677" i="15" s="1"/>
  <c r="E714" i="15"/>
  <c r="G714" i="15" s="1"/>
  <c r="E444" i="15"/>
  <c r="G444" i="15" s="1"/>
  <c r="B385" i="15"/>
  <c r="B386" i="15"/>
  <c r="B387" i="15"/>
  <c r="B389" i="15"/>
  <c r="B391" i="15"/>
  <c r="B388" i="15"/>
  <c r="B392" i="15"/>
  <c r="B393" i="15"/>
  <c r="B395" i="15"/>
  <c r="B394" i="15"/>
  <c r="B390" i="15"/>
  <c r="B666" i="15"/>
  <c r="B699" i="15"/>
  <c r="B665" i="15"/>
  <c r="B667" i="15"/>
  <c r="B718" i="15"/>
  <c r="B700" i="15"/>
  <c r="B704" i="15"/>
  <c r="B677" i="15"/>
  <c r="B714" i="15"/>
  <c r="B444" i="15"/>
  <c r="E516" i="15"/>
  <c r="G516" i="15" s="1"/>
  <c r="B516" i="15"/>
  <c r="E588" i="15"/>
  <c r="B588" i="15"/>
  <c r="E489" i="15"/>
  <c r="G489" i="15" s="1"/>
  <c r="E593" i="15"/>
  <c r="G593" i="15" s="1"/>
  <c r="B593" i="15"/>
  <c r="E684" i="15"/>
  <c r="B684" i="15"/>
  <c r="B489" i="15"/>
  <c r="E686" i="15"/>
  <c r="G686" i="15" s="1"/>
  <c r="E687" i="15"/>
  <c r="G687" i="15" s="1"/>
  <c r="E688" i="15"/>
  <c r="E689" i="15"/>
  <c r="E690" i="15"/>
  <c r="B686" i="15"/>
  <c r="B687" i="15"/>
  <c r="B688" i="15"/>
  <c r="B689" i="15"/>
  <c r="B690" i="15"/>
  <c r="E496" i="15"/>
  <c r="G496" i="15" s="1"/>
  <c r="E587" i="15"/>
  <c r="G587" i="15" s="1"/>
  <c r="E586" i="15"/>
  <c r="G586" i="15" s="1"/>
  <c r="B496" i="15"/>
  <c r="B587" i="15"/>
  <c r="B586" i="15"/>
  <c r="B673" i="15"/>
  <c r="B672" i="15"/>
  <c r="B622" i="15"/>
  <c r="B621" i="15"/>
  <c r="B674" i="15"/>
  <c r="B675" i="15"/>
  <c r="B422" i="15"/>
  <c r="B423" i="15"/>
  <c r="B418" i="15"/>
  <c r="B419" i="15"/>
  <c r="B425" i="15"/>
  <c r="B424" i="15"/>
  <c r="B426" i="15"/>
  <c r="B417" i="15"/>
  <c r="B421" i="15"/>
  <c r="B406" i="15"/>
  <c r="B401" i="15"/>
  <c r="B402" i="15"/>
  <c r="B397" i="15"/>
  <c r="B398" i="15"/>
  <c r="B403" i="15"/>
  <c r="B396" i="15"/>
  <c r="B399" i="15"/>
  <c r="B400" i="15"/>
  <c r="B412" i="15"/>
  <c r="B413" i="15"/>
  <c r="B408" i="15"/>
  <c r="B409" i="15"/>
  <c r="B414" i="15"/>
  <c r="B407" i="15"/>
  <c r="B410" i="15"/>
  <c r="B411" i="15"/>
  <c r="B415" i="15"/>
  <c r="B416" i="15"/>
  <c r="B456" i="15"/>
  <c r="B458" i="15"/>
  <c r="B455" i="15"/>
  <c r="B453" i="15"/>
  <c r="B457" i="15"/>
  <c r="B454" i="15"/>
  <c r="B475" i="15"/>
  <c r="B465" i="15"/>
  <c r="B464" i="15"/>
  <c r="B466" i="15"/>
  <c r="B471" i="15"/>
  <c r="B473" i="15"/>
  <c r="B474" i="15"/>
  <c r="B472" i="15"/>
  <c r="B469" i="15"/>
  <c r="B470" i="15"/>
  <c r="B467" i="15"/>
  <c r="B468" i="15"/>
  <c r="B382" i="15"/>
  <c r="B383" i="15"/>
  <c r="B378" i="15"/>
  <c r="B379" i="15"/>
  <c r="B384" i="15"/>
  <c r="B377" i="15"/>
  <c r="B380" i="15"/>
  <c r="B381" i="15"/>
  <c r="B442" i="15"/>
  <c r="B441" i="15"/>
  <c r="B440" i="15"/>
  <c r="B439" i="15"/>
  <c r="B443" i="15"/>
  <c r="B449" i="15"/>
  <c r="B451" i="15"/>
  <c r="B452" i="15"/>
  <c r="B450" i="15"/>
  <c r="B448" i="15"/>
  <c r="B445" i="15"/>
  <c r="B446" i="15"/>
  <c r="B447" i="15"/>
  <c r="B514" i="15"/>
  <c r="B515" i="15"/>
  <c r="B505" i="15"/>
  <c r="B511" i="15"/>
  <c r="B503" i="15"/>
  <c r="B502" i="15"/>
  <c r="B509" i="15"/>
  <c r="B518" i="15"/>
  <c r="B510" i="15"/>
  <c r="B506" i="15"/>
  <c r="B504" i="15"/>
  <c r="B507" i="15"/>
  <c r="B508" i="15"/>
  <c r="B89" i="15"/>
  <c r="B90" i="15"/>
  <c r="B111" i="15"/>
  <c r="B104" i="15"/>
  <c r="B314" i="15"/>
  <c r="B313" i="15"/>
  <c r="B322" i="15"/>
  <c r="B315" i="15"/>
  <c r="B321" i="15"/>
  <c r="B205" i="15"/>
  <c r="B204" i="15"/>
  <c r="B130" i="15"/>
  <c r="B81" i="15"/>
  <c r="B45" i="15"/>
  <c r="B44" i="15"/>
  <c r="B47" i="15"/>
  <c r="B46" i="15"/>
  <c r="B51" i="15"/>
  <c r="B50" i="15"/>
  <c r="B49" i="15"/>
  <c r="B48" i="15"/>
  <c r="B52" i="15"/>
  <c r="B202" i="15"/>
  <c r="B203" i="15"/>
  <c r="B200" i="15"/>
  <c r="B201" i="15"/>
  <c r="B198" i="15"/>
  <c r="B199" i="15"/>
  <c r="B197" i="15"/>
  <c r="B336" i="15"/>
  <c r="B337" i="15"/>
  <c r="B335" i="15"/>
  <c r="B338" i="15"/>
  <c r="B334" i="15"/>
  <c r="B339" i="15"/>
  <c r="B87" i="15"/>
  <c r="B86" i="15"/>
  <c r="B311" i="15"/>
  <c r="B310" i="15"/>
  <c r="B309" i="15"/>
  <c r="B312" i="15"/>
  <c r="B323" i="15"/>
  <c r="B319" i="15"/>
  <c r="B320" i="15"/>
  <c r="B145" i="15"/>
  <c r="B143" i="15"/>
  <c r="B144" i="15"/>
  <c r="B103" i="15"/>
  <c r="B101" i="15"/>
  <c r="B146" i="15"/>
  <c r="B102" i="15"/>
  <c r="B142" i="15"/>
  <c r="B140" i="15"/>
  <c r="B141" i="15"/>
  <c r="B100" i="15"/>
  <c r="B98" i="15"/>
  <c r="B99" i="15"/>
  <c r="B110" i="15"/>
  <c r="B139" i="15"/>
  <c r="B137" i="15"/>
  <c r="B138" i="15"/>
  <c r="B97" i="15"/>
  <c r="B95" i="15"/>
  <c r="B96" i="15"/>
  <c r="B109" i="15"/>
  <c r="B136" i="15"/>
  <c r="B134" i="15"/>
  <c r="B135" i="15"/>
  <c r="B108" i="15"/>
  <c r="B107" i="15"/>
  <c r="B133" i="15"/>
  <c r="B131" i="15"/>
  <c r="B132" i="15"/>
  <c r="B106" i="15"/>
  <c r="B105" i="15"/>
  <c r="B94" i="15"/>
  <c r="B93" i="15"/>
  <c r="B92" i="15"/>
  <c r="B91" i="15"/>
  <c r="B85" i="15"/>
  <c r="B84" i="15"/>
  <c r="B302" i="15"/>
  <c r="B340" i="15"/>
  <c r="B83" i="15"/>
  <c r="B82" i="15"/>
  <c r="B206" i="15"/>
  <c r="B303" i="15"/>
  <c r="B307" i="15"/>
  <c r="B306" i="15"/>
  <c r="B167" i="15"/>
  <c r="B169" i="15"/>
  <c r="B166" i="15"/>
  <c r="B168" i="15"/>
  <c r="B163" i="15"/>
  <c r="B165" i="15"/>
  <c r="B162" i="15"/>
  <c r="B164" i="15"/>
  <c r="B123" i="15"/>
  <c r="B122" i="15"/>
  <c r="B120" i="15"/>
  <c r="B121" i="15"/>
  <c r="B119" i="15"/>
  <c r="B118" i="15"/>
  <c r="B116" i="15"/>
  <c r="B117" i="15"/>
  <c r="B129" i="15"/>
  <c r="B127" i="15"/>
  <c r="B128" i="15"/>
  <c r="B126" i="15"/>
  <c r="B125" i="15"/>
  <c r="B124" i="15"/>
  <c r="B308" i="15"/>
  <c r="B172" i="15"/>
  <c r="B229" i="15"/>
  <c r="B232" i="15"/>
  <c r="B233" i="15"/>
  <c r="B235" i="15"/>
  <c r="B150" i="15"/>
  <c r="B149" i="15"/>
  <c r="B148" i="15"/>
  <c r="B147" i="15"/>
  <c r="B151" i="15"/>
  <c r="B642" i="15"/>
  <c r="B230" i="15"/>
  <c r="B228" i="15"/>
  <c r="B234" i="15"/>
  <c r="B231" i="15"/>
  <c r="B186" i="15"/>
  <c r="B185" i="15"/>
  <c r="B187" i="15"/>
  <c r="B189" i="15"/>
  <c r="B190" i="15"/>
  <c r="B188" i="15"/>
  <c r="B180" i="15"/>
  <c r="B179" i="15"/>
  <c r="B181" i="15"/>
  <c r="B183" i="15"/>
  <c r="B184" i="15"/>
  <c r="B182" i="15"/>
  <c r="B174" i="15"/>
  <c r="B173" i="15"/>
  <c r="B175" i="15"/>
  <c r="B177" i="15"/>
  <c r="B178" i="15"/>
  <c r="B176" i="15"/>
  <c r="B207" i="15"/>
  <c r="B287" i="15"/>
  <c r="B291" i="15"/>
  <c r="B289" i="15"/>
  <c r="B288" i="15"/>
  <c r="B286" i="15"/>
  <c r="B290" i="15"/>
  <c r="B769" i="15"/>
  <c r="B171" i="15"/>
  <c r="B57" i="15"/>
  <c r="B54" i="15"/>
  <c r="B53" i="15"/>
  <c r="B55" i="15"/>
  <c r="B58" i="15"/>
  <c r="B56" i="15"/>
  <c r="B36" i="15"/>
  <c r="B35" i="15"/>
  <c r="B34" i="15"/>
  <c r="B33" i="15"/>
  <c r="B32" i="15"/>
  <c r="B31" i="15"/>
  <c r="B6" i="15"/>
  <c r="B3" i="15"/>
  <c r="B26" i="15"/>
  <c r="B28" i="15"/>
  <c r="B27" i="15"/>
  <c r="B30" i="15"/>
  <c r="B29" i="15"/>
  <c r="B22" i="15"/>
  <c r="B23" i="15"/>
  <c r="B21" i="15"/>
  <c r="B304" i="15"/>
  <c r="B305" i="15"/>
  <c r="B211" i="15"/>
  <c r="B210" i="15"/>
  <c r="B213" i="15"/>
  <c r="B212" i="15"/>
  <c r="B209" i="15"/>
  <c r="B208" i="15"/>
  <c r="B347" i="15"/>
  <c r="B348" i="15"/>
  <c r="B215" i="15"/>
  <c r="B216" i="15"/>
  <c r="B214" i="15"/>
  <c r="B2" i="15"/>
  <c r="B16" i="15"/>
  <c r="B15" i="15"/>
  <c r="B39" i="15"/>
  <c r="B40" i="15"/>
  <c r="B37" i="15"/>
  <c r="B38" i="15"/>
  <c r="B41" i="15"/>
  <c r="B42" i="15"/>
  <c r="B236" i="15"/>
  <c r="B60" i="15"/>
  <c r="B191" i="15"/>
  <c r="B192" i="15"/>
  <c r="B193" i="15"/>
  <c r="B196" i="15"/>
  <c r="B195" i="15"/>
  <c r="B194" i="15"/>
  <c r="B221" i="15"/>
  <c r="B300" i="15"/>
  <c r="B301" i="15"/>
  <c r="B297" i="15"/>
  <c r="B245" i="15"/>
  <c r="B299" i="15"/>
  <c r="B298" i="15"/>
  <c r="B244" i="15"/>
  <c r="B240" i="15"/>
  <c r="B239" i="15"/>
  <c r="B237" i="15"/>
  <c r="B238" i="15"/>
  <c r="B242" i="15"/>
  <c r="B241" i="15"/>
  <c r="B243" i="15"/>
  <c r="B295" i="15"/>
  <c r="B296" i="15"/>
  <c r="B292" i="15"/>
  <c r="B294" i="15"/>
  <c r="B293" i="15"/>
  <c r="B330" i="15"/>
  <c r="B331" i="15"/>
  <c r="B329" i="15"/>
  <c r="B332" i="15"/>
  <c r="B333" i="15"/>
  <c r="B20" i="15"/>
  <c r="B59" i="15"/>
  <c r="B19" i="15"/>
  <c r="B324" i="15"/>
  <c r="B327" i="15"/>
  <c r="B325" i="15"/>
  <c r="B326" i="15"/>
  <c r="B328" i="15"/>
  <c r="B115" i="15"/>
  <c r="B114" i="15"/>
  <c r="B113" i="15"/>
  <c r="B112" i="15"/>
  <c r="B25" i="15"/>
  <c r="B43" i="15"/>
  <c r="B18" i="15"/>
  <c r="B17" i="15"/>
  <c r="B158" i="15"/>
  <c r="B161" i="15"/>
  <c r="B160" i="15"/>
  <c r="B159" i="15"/>
  <c r="B157" i="15"/>
  <c r="B153" i="15"/>
  <c r="B156" i="15"/>
  <c r="B155" i="15"/>
  <c r="B154" i="15"/>
  <c r="B152" i="15"/>
  <c r="B223" i="15"/>
  <c r="B222" i="15"/>
  <c r="B75" i="15"/>
  <c r="B73" i="15"/>
  <c r="B74" i="15"/>
  <c r="B79" i="15"/>
  <c r="B78" i="15"/>
  <c r="B77" i="15"/>
  <c r="B68" i="15"/>
  <c r="B66" i="15"/>
  <c r="B67" i="15"/>
  <c r="B72" i="15"/>
  <c r="B71" i="15"/>
  <c r="B70" i="15"/>
  <c r="B220" i="15"/>
  <c r="B219" i="15"/>
  <c r="B218" i="15"/>
  <c r="B217" i="15"/>
  <c r="B316" i="15"/>
  <c r="B318" i="15"/>
  <c r="B317" i="15"/>
  <c r="B88" i="15"/>
  <c r="B170" i="15"/>
  <c r="B281" i="15"/>
  <c r="B284" i="15"/>
  <c r="B285" i="15"/>
  <c r="B283" i="15"/>
  <c r="B280" i="15"/>
  <c r="B282" i="15"/>
  <c r="B275" i="15"/>
  <c r="B278" i="15"/>
  <c r="B279" i="15"/>
  <c r="B277" i="15"/>
  <c r="B274" i="15"/>
  <c r="B276" i="15"/>
  <c r="B64" i="15"/>
  <c r="B65" i="15"/>
  <c r="B63" i="15"/>
  <c r="B61" i="15"/>
  <c r="B62" i="15"/>
  <c r="B80" i="15"/>
  <c r="B224" i="15"/>
  <c r="B76" i="15"/>
  <c r="B69" i="15"/>
  <c r="B13" i="15"/>
  <c r="B12" i="15"/>
  <c r="B14" i="15"/>
  <c r="B10" i="15"/>
  <c r="B9" i="15"/>
  <c r="B11" i="15"/>
  <c r="B7" i="15"/>
  <c r="B8" i="15"/>
  <c r="B4" i="15"/>
  <c r="B5" i="15"/>
  <c r="B253" i="15"/>
  <c r="B254" i="15"/>
  <c r="B255" i="15"/>
  <c r="B256" i="15"/>
  <c r="B259" i="15"/>
  <c r="B257" i="15"/>
  <c r="B258" i="15"/>
  <c r="B246" i="15"/>
  <c r="B247" i="15"/>
  <c r="B248" i="15"/>
  <c r="B249" i="15"/>
  <c r="B252" i="15"/>
  <c r="B250" i="15"/>
  <c r="B251" i="15"/>
  <c r="B260" i="15"/>
  <c r="B261" i="15"/>
  <c r="B262" i="15"/>
  <c r="B263" i="15"/>
  <c r="B266" i="15"/>
  <c r="B264" i="15"/>
  <c r="B265" i="15"/>
  <c r="B267" i="15"/>
  <c r="B268" i="15"/>
  <c r="B269" i="15"/>
  <c r="B270" i="15"/>
  <c r="B271" i="15"/>
  <c r="B273" i="15"/>
  <c r="B272" i="15"/>
  <c r="B804" i="15"/>
  <c r="B707" i="15"/>
  <c r="B711" i="15"/>
  <c r="B706" i="15"/>
  <c r="B709" i="15"/>
  <c r="B427" i="15"/>
  <c r="B420" i="15"/>
  <c r="B376" i="15"/>
  <c r="B372" i="15"/>
  <c r="B374" i="15"/>
  <c r="B375" i="15"/>
  <c r="B373" i="15"/>
  <c r="B370" i="15"/>
  <c r="B371" i="15"/>
  <c r="B368" i="15"/>
  <c r="B369" i="15"/>
  <c r="B480" i="15"/>
  <c r="B482" i="15"/>
  <c r="B481" i="15"/>
  <c r="B478" i="15"/>
  <c r="B479" i="15"/>
  <c r="B483" i="15"/>
  <c r="B476" i="15"/>
  <c r="B477" i="15"/>
  <c r="B609" i="15"/>
  <c r="B367" i="15"/>
  <c r="B363" i="15"/>
  <c r="B364" i="15"/>
  <c r="B359" i="15"/>
  <c r="B360" i="15"/>
  <c r="B366" i="15"/>
  <c r="B365" i="15"/>
  <c r="B358" i="15"/>
  <c r="B361" i="15"/>
  <c r="B362" i="15"/>
  <c r="B459" i="15"/>
  <c r="B463" i="15"/>
  <c r="B522" i="15"/>
  <c r="B499" i="15"/>
  <c r="B705" i="15"/>
  <c r="B461" i="15"/>
  <c r="B460" i="15"/>
  <c r="B462" i="15"/>
  <c r="B497" i="15"/>
  <c r="B703" i="15"/>
  <c r="B701" i="15"/>
  <c r="B498" i="15"/>
  <c r="B519" i="15"/>
  <c r="B512" i="15"/>
  <c r="B523" i="15"/>
  <c r="B513" i="15"/>
  <c r="B520" i="15"/>
  <c r="B487" i="15"/>
  <c r="B702" i="15"/>
  <c r="B517" i="15"/>
  <c r="B500" i="15"/>
  <c r="B521" i="15"/>
  <c r="B490" i="15"/>
  <c r="B488" i="15"/>
  <c r="B676" i="15"/>
  <c r="B715" i="15"/>
  <c r="B501" i="15"/>
  <c r="B685" i="15"/>
  <c r="B405" i="15"/>
  <c r="B404" i="15"/>
  <c r="B696" i="15"/>
  <c r="B697" i="15"/>
  <c r="B357" i="15"/>
  <c r="B353" i="15"/>
  <c r="B355" i="15"/>
  <c r="B356" i="15"/>
  <c r="B354" i="15"/>
  <c r="B351" i="15"/>
  <c r="B352" i="15"/>
  <c r="B349" i="15"/>
  <c r="B350" i="15"/>
  <c r="B708" i="15"/>
  <c r="B712" i="15"/>
  <c r="B710" i="15"/>
  <c r="B661" i="15"/>
  <c r="B664" i="15"/>
  <c r="B663" i="15"/>
  <c r="B662" i="15"/>
  <c r="B698" i="15"/>
  <c r="B671" i="15"/>
  <c r="B484" i="15"/>
  <c r="B486" i="15"/>
  <c r="B485" i="15"/>
  <c r="B713" i="15"/>
  <c r="B613" i="15"/>
  <c r="B597" i="15"/>
  <c r="B719" i="15"/>
  <c r="B592" i="15"/>
  <c r="B492" i="15"/>
  <c r="B493" i="15"/>
  <c r="B491" i="15"/>
  <c r="B659" i="15"/>
  <c r="B730" i="15"/>
  <c r="B658" i="15"/>
  <c r="B660" i="15"/>
  <c r="B681" i="15"/>
  <c r="B678" i="15"/>
  <c r="B679" i="15"/>
  <c r="B680" i="15"/>
  <c r="B799" i="15"/>
  <c r="B591" i="15"/>
  <c r="B787" i="15"/>
  <c r="B792" i="15"/>
  <c r="B784" i="15"/>
  <c r="B789" i="15"/>
  <c r="B788" i="15"/>
  <c r="B786" i="15"/>
  <c r="B785" i="15"/>
  <c r="B757" i="15"/>
  <c r="B756" i="15"/>
  <c r="B793" i="15"/>
  <c r="B740" i="15"/>
  <c r="B739" i="15"/>
  <c r="B759" i="15"/>
  <c r="B797" i="15"/>
  <c r="B790" i="15"/>
  <c r="B794" i="15"/>
  <c r="B795" i="15"/>
  <c r="B791" i="15"/>
  <c r="B775" i="15"/>
  <c r="B731" i="15"/>
  <c r="B733" i="15"/>
  <c r="B760" i="15"/>
  <c r="B761" i="15"/>
  <c r="B771" i="15"/>
  <c r="B765" i="15"/>
  <c r="B773" i="15"/>
  <c r="B800" i="15"/>
  <c r="B801" i="15"/>
  <c r="B803" i="15"/>
  <c r="B816" i="15"/>
  <c r="B817" i="15"/>
  <c r="B750" i="15"/>
  <c r="B783" i="15"/>
  <c r="B748" i="15"/>
  <c r="B778" i="15"/>
  <c r="B777" i="15"/>
  <c r="B776" i="15"/>
  <c r="B779" i="15"/>
  <c r="B745" i="15"/>
  <c r="B744" i="15"/>
  <c r="B752" i="15"/>
  <c r="B749" i="15"/>
  <c r="B758" i="15"/>
  <c r="B796" i="15"/>
  <c r="B734" i="15"/>
  <c r="B747" i="15"/>
  <c r="B770" i="15"/>
  <c r="B751" i="15"/>
  <c r="B781" i="15"/>
  <c r="B802" i="15"/>
  <c r="B732" i="15"/>
  <c r="B743" i="15"/>
  <c r="B736" i="15"/>
  <c r="B764" i="15"/>
  <c r="B763" i="15"/>
  <c r="B762" i="15"/>
  <c r="B735" i="15"/>
  <c r="B818" i="15"/>
  <c r="B753" i="15"/>
  <c r="B772" i="15"/>
  <c r="B746" i="15"/>
  <c r="B737" i="15"/>
  <c r="B738" i="15"/>
  <c r="B754" i="15"/>
  <c r="B766" i="15"/>
  <c r="B741" i="15"/>
  <c r="B742" i="15"/>
  <c r="B767" i="15"/>
  <c r="B774" i="15"/>
  <c r="B782" i="15"/>
  <c r="B768" i="15"/>
  <c r="B780" i="15"/>
  <c r="B590" i="15"/>
  <c r="B683" i="15"/>
  <c r="B682" i="15"/>
  <c r="B721" i="15"/>
  <c r="B720" i="15"/>
  <c r="B589" i="15"/>
  <c r="E609" i="15"/>
  <c r="G609" i="15" s="1"/>
  <c r="E705" i="15"/>
  <c r="G705" i="15" s="1"/>
  <c r="E804" i="15"/>
  <c r="G804" i="15" s="1"/>
  <c r="E522" i="15"/>
  <c r="G522" i="15" s="1"/>
  <c r="E375" i="15"/>
  <c r="G375" i="15" s="1"/>
  <c r="E376" i="15"/>
  <c r="G376" i="15" s="1"/>
  <c r="E476" i="15"/>
  <c r="G476" i="15" s="1"/>
  <c r="E477" i="15"/>
  <c r="G477" i="15" s="1"/>
  <c r="E478" i="15"/>
  <c r="G478" i="15" s="1"/>
  <c r="E479" i="15"/>
  <c r="G479" i="15" s="1"/>
  <c r="E480" i="15"/>
  <c r="G480" i="15" s="1"/>
  <c r="E481" i="15"/>
  <c r="G481" i="15" s="1"/>
  <c r="E482" i="15"/>
  <c r="G482" i="15" s="1"/>
  <c r="E483" i="15"/>
  <c r="G483" i="15" s="1"/>
  <c r="E368" i="15"/>
  <c r="G368" i="15" s="1"/>
  <c r="E369" i="15"/>
  <c r="G369" i="15" s="1"/>
  <c r="E370" i="15"/>
  <c r="G370" i="15" s="1"/>
  <c r="E371" i="15"/>
  <c r="G371" i="15" s="1"/>
  <c r="E372" i="15"/>
  <c r="G372" i="15" s="1"/>
  <c r="E373" i="15"/>
  <c r="G373" i="15" s="1"/>
  <c r="E374" i="15"/>
  <c r="G374" i="15" s="1"/>
  <c r="E358" i="15"/>
  <c r="G358" i="15" s="1"/>
  <c r="E359" i="15"/>
  <c r="G359" i="15" s="1"/>
  <c r="E360" i="15"/>
  <c r="G360" i="15" s="1"/>
  <c r="E361" i="15"/>
  <c r="G361" i="15" s="1"/>
  <c r="E362" i="15"/>
  <c r="G362" i="15" s="1"/>
  <c r="E363" i="15"/>
  <c r="G363" i="15" s="1"/>
  <c r="E364" i="15"/>
  <c r="G364" i="15" s="1"/>
  <c r="E365" i="15"/>
  <c r="G365" i="15" s="1"/>
  <c r="E366" i="15"/>
  <c r="G366" i="15" s="1"/>
  <c r="E367" i="15"/>
  <c r="G367" i="15" s="1"/>
  <c r="E460" i="15"/>
  <c r="G460" i="15" s="1"/>
  <c r="E461" i="15"/>
  <c r="G461" i="15" s="1"/>
  <c r="E462" i="15"/>
  <c r="G462" i="15" s="1"/>
  <c r="E463" i="15"/>
  <c r="G463" i="15" s="1"/>
  <c r="E706" i="15"/>
  <c r="G706" i="15" s="1"/>
  <c r="E707" i="15"/>
  <c r="G707" i="15" s="1"/>
  <c r="E709" i="15"/>
  <c r="G709" i="15" s="1"/>
  <c r="E711" i="15"/>
  <c r="G711" i="15" s="1"/>
  <c r="E499" i="15"/>
  <c r="G499" i="15" s="1"/>
  <c r="D826" i="15" l="1"/>
  <c r="D827" i="15"/>
  <c r="D828" i="15"/>
  <c r="D829" i="15"/>
  <c r="D825" i="15"/>
  <c r="G834" i="15"/>
  <c r="G825" i="15"/>
  <c r="D833" i="15"/>
  <c r="G824" i="15"/>
  <c r="G831" i="15"/>
  <c r="G823" i="15"/>
  <c r="D24" i="15"/>
  <c r="D526" i="15"/>
  <c r="D602" i="15"/>
  <c r="D638" i="15"/>
  <c r="D567" i="15"/>
  <c r="D539" i="15"/>
  <c r="D553" i="15"/>
  <c r="D607" i="15"/>
  <c r="D644" i="15"/>
  <c r="D578" i="15"/>
  <c r="D603" i="15"/>
  <c r="D639" i="15"/>
  <c r="D566" i="15"/>
  <c r="D545" i="15"/>
  <c r="D551" i="15"/>
  <c r="D601" i="15"/>
  <c r="D557" i="15"/>
  <c r="D527" i="15"/>
  <c r="D580" i="15"/>
  <c r="D631" i="15"/>
  <c r="D572" i="15"/>
  <c r="D562" i="15"/>
  <c r="D536" i="15"/>
  <c r="D532" i="15"/>
  <c r="D633" i="15"/>
  <c r="D543" i="15"/>
  <c r="D429" i="15"/>
  <c r="G602" i="15"/>
  <c r="G638" i="15"/>
  <c r="G567" i="15"/>
  <c r="G539" i="15"/>
  <c r="G553" i="15"/>
  <c r="G607" i="15"/>
  <c r="G644" i="15"/>
  <c r="G578" i="15"/>
  <c r="G603" i="15"/>
  <c r="G639" i="15"/>
  <c r="G566" i="15"/>
  <c r="G545" i="15"/>
  <c r="G551" i="15"/>
  <c r="G601" i="15"/>
  <c r="G557" i="15"/>
  <c r="G527" i="15"/>
  <c r="G580" i="15"/>
  <c r="D606" i="15"/>
  <c r="D635" i="15"/>
  <c r="D560" i="15"/>
  <c r="D546" i="15"/>
  <c r="D552" i="15"/>
  <c r="D604" i="15"/>
  <c r="D645" i="15"/>
  <c r="D432" i="15"/>
  <c r="D582" i="15"/>
  <c r="G631" i="15"/>
  <c r="G572" i="15"/>
  <c r="G562" i="15"/>
  <c r="G536" i="15"/>
  <c r="G532" i="15"/>
  <c r="G633" i="15"/>
  <c r="G543" i="15"/>
  <c r="G429" i="15"/>
  <c r="D630" i="15"/>
  <c r="D573" i="15"/>
  <c r="D561" i="15"/>
  <c r="D535" i="15"/>
  <c r="D534" i="15"/>
  <c r="D628" i="15"/>
  <c r="D559" i="15"/>
  <c r="D430" i="15"/>
  <c r="D524" i="15"/>
  <c r="D808" i="15"/>
  <c r="D670" i="15"/>
  <c r="D494" i="15"/>
  <c r="D669" i="15"/>
  <c r="D806" i="15"/>
  <c r="D668" i="15"/>
  <c r="D620" i="15"/>
  <c r="D614" i="15"/>
  <c r="D438" i="15"/>
  <c r="D437" i="15"/>
  <c r="D755" i="15"/>
  <c r="D657" i="15"/>
  <c r="D619" i="15"/>
  <c r="D815" i="15"/>
  <c r="D655" i="15"/>
  <c r="D617" i="15"/>
  <c r="D814" i="15"/>
  <c r="D727" i="15"/>
  <c r="D654" i="15"/>
  <c r="D616" i="15"/>
  <c r="D813" i="15"/>
  <c r="D726" i="15"/>
  <c r="D652" i="15"/>
  <c r="D615" i="15"/>
  <c r="D596" i="15"/>
  <c r="D812" i="15"/>
  <c r="D725" i="15"/>
  <c r="D651" i="15"/>
  <c r="D728" i="15"/>
  <c r="D811" i="15"/>
  <c r="D724" i="15"/>
  <c r="D650" i="15"/>
  <c r="D612" i="15"/>
  <c r="D344" i="15"/>
  <c r="D695" i="15"/>
  <c r="D342" i="15"/>
  <c r="D610" i="15"/>
  <c r="D716" i="15"/>
  <c r="D595" i="15"/>
  <c r="D694" i="15"/>
  <c r="D677" i="15"/>
  <c r="D714" i="15"/>
  <c r="D387" i="15"/>
  <c r="D522" i="15"/>
  <c r="D389" i="15"/>
  <c r="D225" i="15"/>
  <c r="D346" i="15"/>
  <c r="D636" i="15"/>
  <c r="D600" i="15"/>
  <c r="D594" i="15"/>
  <c r="D717" i="15"/>
  <c r="D704" i="15"/>
  <c r="D700" i="15"/>
  <c r="D692" i="15"/>
  <c r="D693" i="15"/>
  <c r="G600" i="15"/>
  <c r="G594" i="15"/>
  <c r="G717" i="15"/>
  <c r="D640" i="15"/>
  <c r="G636" i="15"/>
  <c r="D227" i="15"/>
  <c r="D226" i="15"/>
  <c r="D345" i="15"/>
  <c r="D691" i="15"/>
  <c r="D343" i="15"/>
  <c r="D341" i="15"/>
  <c r="G345" i="15"/>
  <c r="D479" i="15"/>
  <c r="D372" i="15"/>
  <c r="D370" i="15"/>
  <c r="D393" i="15"/>
  <c r="D667" i="15"/>
  <c r="D665" i="15"/>
  <c r="D388" i="15"/>
  <c r="D463" i="15"/>
  <c r="D367" i="15"/>
  <c r="D684" i="15"/>
  <c r="D444" i="15"/>
  <c r="D391" i="15"/>
  <c r="D390" i="15"/>
  <c r="D690" i="15"/>
  <c r="D588" i="15"/>
  <c r="D394" i="15"/>
  <c r="D689" i="15"/>
  <c r="D395" i="15"/>
  <c r="D386" i="15"/>
  <c r="D718" i="15"/>
  <c r="D392" i="15"/>
  <c r="G395" i="15"/>
  <c r="D699" i="15"/>
  <c r="D385" i="15"/>
  <c r="D666" i="15"/>
  <c r="D516" i="15"/>
  <c r="D707" i="15"/>
  <c r="D368" i="15"/>
  <c r="D609" i="15"/>
  <c r="G588" i="15"/>
  <c r="D688" i="15"/>
  <c r="D593" i="15"/>
  <c r="D489" i="15"/>
  <c r="G684" i="15"/>
  <c r="D687" i="15"/>
  <c r="D686" i="15"/>
  <c r="G690" i="15"/>
  <c r="G689" i="15"/>
  <c r="G688" i="15"/>
  <c r="D804" i="15"/>
  <c r="D477" i="15"/>
  <c r="D365" i="15"/>
  <c r="D358" i="15"/>
  <c r="D374" i="15"/>
  <c r="D373" i="15"/>
  <c r="D361" i="15"/>
  <c r="D462" i="15"/>
  <c r="D711" i="15"/>
  <c r="D460" i="15"/>
  <c r="D360" i="15"/>
  <c r="D482" i="15"/>
  <c r="D706" i="15"/>
  <c r="D461" i="15"/>
  <c r="D359" i="15"/>
  <c r="D480" i="15"/>
  <c r="D709" i="15"/>
  <c r="D369" i="15"/>
  <c r="D364" i="15"/>
  <c r="D478" i="15"/>
  <c r="D499" i="15"/>
  <c r="D363" i="15"/>
  <c r="D586" i="15"/>
  <c r="D587" i="15"/>
  <c r="D496" i="15"/>
  <c r="D476" i="15"/>
  <c r="D366" i="15"/>
  <c r="D375" i="15"/>
  <c r="D371" i="15"/>
  <c r="D376" i="15"/>
  <c r="D481" i="15"/>
  <c r="D362" i="15"/>
  <c r="D483" i="15"/>
  <c r="D705" i="15"/>
  <c r="E765" i="15" l="1"/>
  <c r="G765" i="15" s="1"/>
  <c r="E773" i="15"/>
  <c r="G773" i="15" s="1"/>
  <c r="E775" i="15"/>
  <c r="G775" i="15" s="1"/>
  <c r="E771" i="15"/>
  <c r="G771" i="15" s="1"/>
  <c r="E733" i="15"/>
  <c r="G733" i="15" s="1"/>
  <c r="E731" i="15"/>
  <c r="G731" i="15" s="1"/>
  <c r="E760" i="15"/>
  <c r="G760" i="15" s="1"/>
  <c r="E761" i="15"/>
  <c r="G761" i="15" s="1"/>
  <c r="E799" i="15"/>
  <c r="G799" i="15" s="1"/>
  <c r="E591" i="15"/>
  <c r="G591" i="15" s="1"/>
  <c r="E753" i="15"/>
  <c r="G753" i="15" s="1"/>
  <c r="E746" i="15"/>
  <c r="G746" i="15" s="1"/>
  <c r="E738" i="15"/>
  <c r="G738" i="15" s="1"/>
  <c r="E754" i="15"/>
  <c r="G754" i="15" s="1"/>
  <c r="E774" i="15"/>
  <c r="G774" i="15" s="1"/>
  <c r="E766" i="15"/>
  <c r="G766" i="15" s="1"/>
  <c r="E772" i="15"/>
  <c r="G772" i="15" s="1"/>
  <c r="E818" i="15"/>
  <c r="G818" i="15" s="1"/>
  <c r="E741" i="15"/>
  <c r="G741" i="15" s="1"/>
  <c r="E742" i="15"/>
  <c r="G742" i="15" s="1"/>
  <c r="E737" i="15"/>
  <c r="G737" i="15" s="1"/>
  <c r="E767" i="15"/>
  <c r="G767" i="15" s="1"/>
  <c r="E802" i="15"/>
  <c r="G802" i="15" s="1"/>
  <c r="E762" i="15"/>
  <c r="G762" i="15" s="1"/>
  <c r="E732" i="15"/>
  <c r="G732" i="15" s="1"/>
  <c r="E736" i="15"/>
  <c r="G736" i="15" s="1"/>
  <c r="E763" i="15"/>
  <c r="G763" i="15" s="1"/>
  <c r="E735" i="15"/>
  <c r="G735" i="15" s="1"/>
  <c r="E764" i="15"/>
  <c r="G764" i="15" s="1"/>
  <c r="E743" i="15"/>
  <c r="G743" i="15" s="1"/>
  <c r="E768" i="15"/>
  <c r="G768" i="15" s="1"/>
  <c r="E780" i="15"/>
  <c r="G780" i="15" s="1"/>
  <c r="E782" i="15"/>
  <c r="G782" i="15" s="1"/>
  <c r="E25" i="15"/>
  <c r="G25" i="15" s="1"/>
  <c r="E500" i="15"/>
  <c r="G500" i="15" s="1"/>
  <c r="E513" i="15"/>
  <c r="G513" i="15" s="1"/>
  <c r="E517" i="15"/>
  <c r="G517" i="15" s="1"/>
  <c r="E520" i="15"/>
  <c r="G520" i="15" s="1"/>
  <c r="E521" i="15"/>
  <c r="G521" i="15" s="1"/>
  <c r="E702" i="15"/>
  <c r="G702" i="15" s="1"/>
  <c r="E487" i="15"/>
  <c r="G487" i="15" s="1"/>
  <c r="E404" i="15"/>
  <c r="G404" i="15" s="1"/>
  <c r="E405" i="15"/>
  <c r="G405" i="15" s="1"/>
  <c r="E488" i="15"/>
  <c r="G488" i="15" s="1"/>
  <c r="E490" i="15"/>
  <c r="G490" i="15" s="1"/>
  <c r="E501" i="15"/>
  <c r="G501" i="15" s="1"/>
  <c r="E676" i="15"/>
  <c r="G676" i="15" s="1"/>
  <c r="E685" i="15"/>
  <c r="G685" i="15" s="1"/>
  <c r="E715" i="15"/>
  <c r="G715" i="15" s="1"/>
  <c r="E349" i="15"/>
  <c r="G349" i="15" s="1"/>
  <c r="E350" i="15"/>
  <c r="G350" i="15" s="1"/>
  <c r="E351" i="15"/>
  <c r="G351" i="15" s="1"/>
  <c r="E352" i="15"/>
  <c r="G352" i="15" s="1"/>
  <c r="E353" i="15"/>
  <c r="G353" i="15" s="1"/>
  <c r="E354" i="15"/>
  <c r="G354" i="15" s="1"/>
  <c r="E355" i="15"/>
  <c r="G355" i="15" s="1"/>
  <c r="E356" i="15"/>
  <c r="G356" i="15" s="1"/>
  <c r="E357" i="15"/>
  <c r="G357" i="15" s="1"/>
  <c r="E696" i="15"/>
  <c r="G696" i="15" s="1"/>
  <c r="E697" i="15"/>
  <c r="G697" i="15" s="1"/>
  <c r="E484" i="15"/>
  <c r="G484" i="15" s="1"/>
  <c r="E485" i="15"/>
  <c r="G485" i="15" s="1"/>
  <c r="E486" i="15"/>
  <c r="G486" i="15" s="1"/>
  <c r="E661" i="15"/>
  <c r="G661" i="15" s="1"/>
  <c r="E662" i="15"/>
  <c r="G662" i="15" s="1"/>
  <c r="E663" i="15"/>
  <c r="G663" i="15" s="1"/>
  <c r="E664" i="15"/>
  <c r="G664" i="15" s="1"/>
  <c r="E671" i="15"/>
  <c r="G671" i="15" s="1"/>
  <c r="E698" i="15"/>
  <c r="G698" i="15" s="1"/>
  <c r="E708" i="15"/>
  <c r="G708" i="15" s="1"/>
  <c r="E710" i="15"/>
  <c r="G710" i="15" s="1"/>
  <c r="E712" i="15"/>
  <c r="G712" i="15" s="1"/>
  <c r="E713" i="15"/>
  <c r="G713" i="15" s="1"/>
  <c r="E491" i="15"/>
  <c r="G491" i="15" s="1"/>
  <c r="E492" i="15"/>
  <c r="G492" i="15" s="1"/>
  <c r="E493" i="15"/>
  <c r="G493" i="15" s="1"/>
  <c r="E592" i="15"/>
  <c r="G592" i="15" s="1"/>
  <c r="E597" i="15"/>
  <c r="G597" i="15" s="1"/>
  <c r="E613" i="15"/>
  <c r="G613" i="15" s="1"/>
  <c r="E658" i="15"/>
  <c r="E659" i="15"/>
  <c r="G659" i="15" s="1"/>
  <c r="E660" i="15"/>
  <c r="G660" i="15" s="1"/>
  <c r="E678" i="15"/>
  <c r="G678" i="15" s="1"/>
  <c r="E679" i="15"/>
  <c r="G679" i="15" s="1"/>
  <c r="E680" i="15"/>
  <c r="G680" i="15" s="1"/>
  <c r="E681" i="15"/>
  <c r="G681" i="15" s="1"/>
  <c r="E719" i="15"/>
  <c r="G719" i="15" s="1"/>
  <c r="E730" i="15"/>
  <c r="G730" i="15" s="1"/>
  <c r="E790" i="15"/>
  <c r="G790" i="15" s="1"/>
  <c r="E791" i="15"/>
  <c r="E794" i="15"/>
  <c r="G794" i="15" s="1"/>
  <c r="E797" i="15"/>
  <c r="G797" i="15" s="1"/>
  <c r="E795" i="15"/>
  <c r="G795" i="15" s="1"/>
  <c r="E784" i="15"/>
  <c r="G784" i="15" s="1"/>
  <c r="E787" i="15"/>
  <c r="G787" i="15" s="1"/>
  <c r="E792" i="15"/>
  <c r="G792" i="15" s="1"/>
  <c r="E785" i="15"/>
  <c r="G785" i="15" s="1"/>
  <c r="E786" i="15"/>
  <c r="G786" i="15" s="1"/>
  <c r="E788" i="15"/>
  <c r="G788" i="15" s="1"/>
  <c r="E789" i="15"/>
  <c r="G789" i="15" s="1"/>
  <c r="E739" i="15"/>
  <c r="G739" i="15" s="1"/>
  <c r="E756" i="15"/>
  <c r="G756" i="15" s="1"/>
  <c r="E757" i="15"/>
  <c r="G757" i="15" s="1"/>
  <c r="E740" i="15"/>
  <c r="G740" i="15" s="1"/>
  <c r="E759" i="15"/>
  <c r="G759" i="15" s="1"/>
  <c r="E793" i="15"/>
  <c r="G793" i="15" s="1"/>
  <c r="E770" i="15"/>
  <c r="G770" i="15" s="1"/>
  <c r="E734" i="15"/>
  <c r="G734" i="15" s="1"/>
  <c r="E747" i="15"/>
  <c r="E779" i="15"/>
  <c r="G779" i="15" s="1"/>
  <c r="E778" i="15"/>
  <c r="G778" i="15" s="1"/>
  <c r="E777" i="15"/>
  <c r="G777" i="15" s="1"/>
  <c r="E776" i="15"/>
  <c r="G776" i="15" s="1"/>
  <c r="E816" i="15"/>
  <c r="E817" i="15"/>
  <c r="E796" i="15"/>
  <c r="G796" i="15" s="1"/>
  <c r="E783" i="15"/>
  <c r="G783" i="15" s="1"/>
  <c r="E758" i="15"/>
  <c r="G758" i="15" s="1"/>
  <c r="E748" i="15"/>
  <c r="G748" i="15" s="1"/>
  <c r="E781" i="15"/>
  <c r="G781" i="15" s="1"/>
  <c r="E803" i="15"/>
  <c r="G803" i="15" s="1"/>
  <c r="E744" i="15"/>
  <c r="G744" i="15" s="1"/>
  <c r="E745" i="15"/>
  <c r="G745" i="15" s="1"/>
  <c r="E751" i="15"/>
  <c r="G751" i="15" s="1"/>
  <c r="E750" i="15"/>
  <c r="G750" i="15" s="1"/>
  <c r="E801" i="15"/>
  <c r="G801" i="15" s="1"/>
  <c r="E800" i="15"/>
  <c r="G800" i="15" s="1"/>
  <c r="E752" i="15"/>
  <c r="G752" i="15" s="1"/>
  <c r="E749" i="15"/>
  <c r="E420" i="15"/>
  <c r="G420" i="15" s="1"/>
  <c r="E427" i="15"/>
  <c r="G427" i="15" s="1"/>
  <c r="E498" i="15"/>
  <c r="G498" i="15" s="1"/>
  <c r="E497" i="15"/>
  <c r="G497" i="15" s="1"/>
  <c r="E523" i="15"/>
  <c r="G523" i="15" s="1"/>
  <c r="E519" i="15"/>
  <c r="G519" i="15" s="1"/>
  <c r="E512" i="15"/>
  <c r="G512" i="15" s="1"/>
  <c r="E701" i="15"/>
  <c r="G701" i="15" s="1"/>
  <c r="E703" i="15"/>
  <c r="G703" i="15" s="1"/>
  <c r="D754" i="15" l="1"/>
  <c r="D732" i="15"/>
  <c r="D738" i="15"/>
  <c r="D765" i="15"/>
  <c r="D736" i="15"/>
  <c r="D762" i="15"/>
  <c r="D753" i="15"/>
  <c r="D773" i="15"/>
  <c r="D802" i="15"/>
  <c r="D500" i="15"/>
  <c r="D817" i="15"/>
  <c r="G817" i="15"/>
  <c r="D749" i="15"/>
  <c r="G749" i="15"/>
  <c r="D816" i="15"/>
  <c r="G816" i="15"/>
  <c r="D490" i="15"/>
  <c r="D658" i="15"/>
  <c r="G658" i="15"/>
  <c r="D791" i="15"/>
  <c r="G791" i="15"/>
  <c r="D747" i="15"/>
  <c r="G747" i="15"/>
  <c r="D797" i="15"/>
  <c r="D355" i="15"/>
  <c r="D712" i="15"/>
  <c r="D746" i="15"/>
  <c r="D790" i="15"/>
  <c r="D662" i="15"/>
  <c r="D679" i="15"/>
  <c r="D685" i="15"/>
  <c r="D794" i="15"/>
  <c r="D664" i="15"/>
  <c r="D799" i="15"/>
  <c r="D780" i="15"/>
  <c r="D513" i="15"/>
  <c r="D763" i="15"/>
  <c r="D774" i="15"/>
  <c r="D775" i="15"/>
  <c r="D659" i="15"/>
  <c r="D591" i="15"/>
  <c r="D487" i="15"/>
  <c r="D751" i="15"/>
  <c r="D777" i="15"/>
  <c r="D750" i="15"/>
  <c r="D776" i="15"/>
  <c r="D767" i="15"/>
  <c r="D782" i="15"/>
  <c r="D737" i="15"/>
  <c r="D761" i="15"/>
  <c r="D741" i="15"/>
  <c r="D760" i="15"/>
  <c r="D520" i="15"/>
  <c r="D803" i="15"/>
  <c r="D743" i="15"/>
  <c r="D818" i="15"/>
  <c r="D731" i="15"/>
  <c r="D768" i="15"/>
  <c r="D781" i="15"/>
  <c r="D764" i="15"/>
  <c r="D772" i="15"/>
  <c r="D733" i="15"/>
  <c r="D678" i="15"/>
  <c r="D735" i="15"/>
  <c r="D766" i="15"/>
  <c r="D771" i="15"/>
  <c r="D745" i="15"/>
  <c r="D778" i="15"/>
  <c r="D744" i="15"/>
  <c r="D779" i="15"/>
  <c r="D492" i="15"/>
  <c r="D734" i="15"/>
  <c r="D742" i="15"/>
  <c r="D353" i="15"/>
  <c r="D352" i="15"/>
  <c r="D710" i="15"/>
  <c r="D491" i="15"/>
  <c r="D770" i="15"/>
  <c r="D800" i="15"/>
  <c r="D703" i="15"/>
  <c r="D349" i="15"/>
  <c r="D663" i="15"/>
  <c r="D485" i="15"/>
  <c r="D357" i="15"/>
  <c r="D748" i="15"/>
  <c r="D758" i="15"/>
  <c r="D696" i="15"/>
  <c r="D783" i="15"/>
  <c r="D752" i="15"/>
  <c r="D796" i="15"/>
  <c r="D517" i="15"/>
  <c r="D484" i="15"/>
  <c r="D702" i="15"/>
  <c r="D350" i="15"/>
  <c r="D715" i="15"/>
  <c r="D697" i="15"/>
  <c r="D25" i="15"/>
  <c r="D698" i="15"/>
  <c r="D676" i="15"/>
  <c r="D354" i="15"/>
  <c r="D713" i="15"/>
  <c r="D488" i="15"/>
  <c r="D351" i="15"/>
  <c r="D801" i="15"/>
  <c r="D404" i="15"/>
  <c r="D405" i="15"/>
  <c r="D521" i="15"/>
  <c r="D613" i="15"/>
  <c r="D660" i="15"/>
  <c r="D356" i="15"/>
  <c r="D597" i="15"/>
  <c r="D501" i="15"/>
  <c r="D592" i="15"/>
  <c r="D493" i="15"/>
  <c r="D708" i="15"/>
  <c r="D793" i="15"/>
  <c r="D719" i="15"/>
  <c r="D759" i="15"/>
  <c r="D671" i="15"/>
  <c r="D681" i="15"/>
  <c r="D740" i="15"/>
  <c r="D661" i="15"/>
  <c r="D680" i="15"/>
  <c r="D757" i="15"/>
  <c r="D486" i="15"/>
  <c r="D756" i="15"/>
  <c r="D512" i="15"/>
  <c r="D701" i="15"/>
  <c r="D523" i="15"/>
  <c r="D519" i="15"/>
  <c r="D497" i="15"/>
  <c r="D792" i="15"/>
  <c r="D787" i="15"/>
  <c r="D739" i="15"/>
  <c r="D784" i="15"/>
  <c r="D788" i="15"/>
  <c r="D786" i="15"/>
  <c r="D795" i="15"/>
  <c r="D789" i="15"/>
  <c r="D785" i="15"/>
  <c r="D730" i="15"/>
  <c r="D420" i="15" l="1"/>
  <c r="D427" i="15"/>
  <c r="D498" i="15"/>
  <c r="E515" i="15" l="1"/>
  <c r="G515" i="15" s="1"/>
  <c r="E514" i="15"/>
  <c r="G514" i="15" s="1"/>
  <c r="E511" i="15"/>
  <c r="G511" i="15" s="1"/>
  <c r="E510" i="15"/>
  <c r="G510" i="15" s="1"/>
  <c r="E509" i="15"/>
  <c r="G509" i="15" s="1"/>
  <c r="E508" i="15"/>
  <c r="G508" i="15" s="1"/>
  <c r="E507" i="15"/>
  <c r="G507" i="15" s="1"/>
  <c r="E506" i="15"/>
  <c r="G506" i="15" s="1"/>
  <c r="E505" i="15"/>
  <c r="G505" i="15" s="1"/>
  <c r="E504" i="15"/>
  <c r="G504" i="15" s="1"/>
  <c r="E503" i="15"/>
  <c r="E502" i="15"/>
  <c r="E446" i="15"/>
  <c r="E447" i="15"/>
  <c r="E448" i="15"/>
  <c r="E445" i="15"/>
  <c r="E449" i="15"/>
  <c r="E450" i="15"/>
  <c r="E451" i="15"/>
  <c r="E452" i="15"/>
  <c r="E377" i="15"/>
  <c r="E378" i="15"/>
  <c r="E379" i="15"/>
  <c r="E380" i="15"/>
  <c r="E381" i="15"/>
  <c r="E382" i="15"/>
  <c r="E383" i="15"/>
  <c r="E384" i="15"/>
  <c r="E439" i="15"/>
  <c r="E440" i="15"/>
  <c r="E441" i="15"/>
  <c r="E442" i="15"/>
  <c r="E443" i="15"/>
  <c r="E466" i="15"/>
  <c r="E467" i="15"/>
  <c r="E468" i="15"/>
  <c r="E469" i="15"/>
  <c r="E470" i="15"/>
  <c r="E471" i="15"/>
  <c r="E472" i="15"/>
  <c r="E473" i="15"/>
  <c r="E474" i="15"/>
  <c r="E464" i="15"/>
  <c r="E465" i="15"/>
  <c r="E475" i="15"/>
  <c r="E415" i="15"/>
  <c r="E416" i="15"/>
  <c r="E453" i="15"/>
  <c r="E454" i="15"/>
  <c r="E455" i="15"/>
  <c r="E456" i="15"/>
  <c r="E457" i="15"/>
  <c r="E458" i="15"/>
  <c r="E407" i="15"/>
  <c r="E408" i="15"/>
  <c r="E409" i="15"/>
  <c r="E410" i="15"/>
  <c r="E411" i="15"/>
  <c r="E412" i="15"/>
  <c r="E413" i="15"/>
  <c r="E414" i="15"/>
  <c r="E406" i="15"/>
  <c r="E396" i="15"/>
  <c r="E397" i="15"/>
  <c r="E398" i="15"/>
  <c r="E399" i="15"/>
  <c r="E400" i="15"/>
  <c r="E401" i="15"/>
  <c r="E402" i="15"/>
  <c r="E403" i="15"/>
  <c r="E417" i="15"/>
  <c r="E418" i="15"/>
  <c r="E419" i="15"/>
  <c r="E421" i="15"/>
  <c r="E422" i="15"/>
  <c r="E423" i="15"/>
  <c r="E424" i="15"/>
  <c r="E425" i="15"/>
  <c r="E426" i="15"/>
  <c r="E621" i="15"/>
  <c r="E622" i="15"/>
  <c r="E672" i="15"/>
  <c r="E674" i="15"/>
  <c r="E675" i="15"/>
  <c r="E682" i="15"/>
  <c r="E683" i="15"/>
  <c r="E673" i="15"/>
  <c r="E720" i="15"/>
  <c r="E721" i="15"/>
  <c r="E819" i="15"/>
  <c r="E589" i="15"/>
  <c r="E590" i="15"/>
  <c r="E459" i="15"/>
  <c r="E518" i="15"/>
  <c r="G518" i="15" s="1"/>
  <c r="D382" i="15" l="1"/>
  <c r="G382" i="15"/>
  <c r="D720" i="15"/>
  <c r="G720" i="15"/>
  <c r="D456" i="15"/>
  <c r="G456" i="15"/>
  <c r="D383" i="15"/>
  <c r="G383" i="15"/>
  <c r="D683" i="15"/>
  <c r="G683" i="15"/>
  <c r="D406" i="15"/>
  <c r="G406" i="15"/>
  <c r="D470" i="15"/>
  <c r="G470" i="15"/>
  <c r="D447" i="15"/>
  <c r="G447" i="15"/>
  <c r="D682" i="15"/>
  <c r="G682" i="15"/>
  <c r="D414" i="15"/>
  <c r="G414" i="15"/>
  <c r="D469" i="15"/>
  <c r="G469" i="15"/>
  <c r="D446" i="15"/>
  <c r="G446" i="15"/>
  <c r="D418" i="15"/>
  <c r="G418" i="15"/>
  <c r="D453" i="15"/>
  <c r="G453" i="15"/>
  <c r="D380" i="15"/>
  <c r="G380" i="15"/>
  <c r="D502" i="15"/>
  <c r="G502" i="15"/>
  <c r="D674" i="15"/>
  <c r="G674" i="15"/>
  <c r="D417" i="15"/>
  <c r="G417" i="15"/>
  <c r="D412" i="15"/>
  <c r="G412" i="15"/>
  <c r="D416" i="15"/>
  <c r="G416" i="15"/>
  <c r="D467" i="15"/>
  <c r="G467" i="15"/>
  <c r="D379" i="15"/>
  <c r="G379" i="15"/>
  <c r="D503" i="15"/>
  <c r="G503" i="15"/>
  <c r="D397" i="15"/>
  <c r="G397" i="15"/>
  <c r="D384" i="15"/>
  <c r="G384" i="15"/>
  <c r="D396" i="15"/>
  <c r="G396" i="15"/>
  <c r="D421" i="15"/>
  <c r="G421" i="15"/>
  <c r="D455" i="15"/>
  <c r="G455" i="15"/>
  <c r="D419" i="15"/>
  <c r="G419" i="15"/>
  <c r="D454" i="15"/>
  <c r="G454" i="15"/>
  <c r="D381" i="15"/>
  <c r="G381" i="15"/>
  <c r="D675" i="15"/>
  <c r="G675" i="15"/>
  <c r="D413" i="15"/>
  <c r="G413" i="15"/>
  <c r="D468" i="15"/>
  <c r="G468" i="15"/>
  <c r="D672" i="15"/>
  <c r="G672" i="15"/>
  <c r="D403" i="15"/>
  <c r="G403" i="15"/>
  <c r="D411" i="15"/>
  <c r="G411" i="15"/>
  <c r="D415" i="15"/>
  <c r="G415" i="15"/>
  <c r="D466" i="15"/>
  <c r="G466" i="15"/>
  <c r="D378" i="15"/>
  <c r="G378" i="15"/>
  <c r="D423" i="15"/>
  <c r="G423" i="15"/>
  <c r="D472" i="15"/>
  <c r="G472" i="15"/>
  <c r="D673" i="15"/>
  <c r="G673" i="15"/>
  <c r="D471" i="15"/>
  <c r="G471" i="15"/>
  <c r="D448" i="15"/>
  <c r="G448" i="15"/>
  <c r="D622" i="15"/>
  <c r="G622" i="15"/>
  <c r="D410" i="15"/>
  <c r="G410" i="15"/>
  <c r="D443" i="15"/>
  <c r="G443" i="15"/>
  <c r="D377" i="15"/>
  <c r="G377" i="15"/>
  <c r="D590" i="15"/>
  <c r="G590" i="15"/>
  <c r="D621" i="15"/>
  <c r="G621" i="15"/>
  <c r="D401" i="15"/>
  <c r="G401" i="15"/>
  <c r="D409" i="15"/>
  <c r="G409" i="15"/>
  <c r="D465" i="15"/>
  <c r="G465" i="15"/>
  <c r="D442" i="15"/>
  <c r="G442" i="15"/>
  <c r="D452" i="15"/>
  <c r="G452" i="15"/>
  <c r="D589" i="15"/>
  <c r="G589" i="15"/>
  <c r="D426" i="15"/>
  <c r="G426" i="15"/>
  <c r="D400" i="15"/>
  <c r="G400" i="15"/>
  <c r="D408" i="15"/>
  <c r="G408" i="15"/>
  <c r="D464" i="15"/>
  <c r="G464" i="15"/>
  <c r="D441" i="15"/>
  <c r="G441" i="15"/>
  <c r="D451" i="15"/>
  <c r="G451" i="15"/>
  <c r="D457" i="15"/>
  <c r="G457" i="15"/>
  <c r="D445" i="15"/>
  <c r="G445" i="15"/>
  <c r="D422" i="15"/>
  <c r="G422" i="15"/>
  <c r="D459" i="15"/>
  <c r="G459" i="15"/>
  <c r="D402" i="15"/>
  <c r="G402" i="15"/>
  <c r="D475" i="15"/>
  <c r="G475" i="15"/>
  <c r="D819" i="15"/>
  <c r="G819" i="15"/>
  <c r="D425" i="15"/>
  <c r="G425" i="15"/>
  <c r="D399" i="15"/>
  <c r="G399" i="15"/>
  <c r="D407" i="15"/>
  <c r="G407" i="15"/>
  <c r="D474" i="15"/>
  <c r="G474" i="15"/>
  <c r="D440" i="15"/>
  <c r="G440" i="15"/>
  <c r="D450" i="15"/>
  <c r="G450" i="15"/>
  <c r="D721" i="15"/>
  <c r="G721" i="15"/>
  <c r="D424" i="15"/>
  <c r="G424" i="15"/>
  <c r="D398" i="15"/>
  <c r="G398" i="15"/>
  <c r="D458" i="15"/>
  <c r="G458" i="15"/>
  <c r="D473" i="15"/>
  <c r="G473" i="15"/>
  <c r="D439" i="15"/>
  <c r="G439" i="15"/>
  <c r="D449" i="15"/>
  <c r="G449" i="15"/>
  <c r="E323" i="15"/>
  <c r="E320" i="15"/>
  <c r="G320" i="15" s="1"/>
  <c r="E292" i="15"/>
  <c r="E293" i="15"/>
  <c r="E294" i="15"/>
  <c r="E295" i="15"/>
  <c r="E296" i="15"/>
  <c r="E297" i="15"/>
  <c r="E298" i="15"/>
  <c r="E299" i="15"/>
  <c r="E300" i="15"/>
  <c r="E301" i="15"/>
  <c r="D518" i="15"/>
  <c r="D515" i="15"/>
  <c r="D514" i="15"/>
  <c r="D511" i="15"/>
  <c r="D510" i="15"/>
  <c r="D509" i="15"/>
  <c r="D508" i="15"/>
  <c r="D507" i="15"/>
  <c r="D506" i="15"/>
  <c r="D505" i="15"/>
  <c r="D504" i="15"/>
  <c r="E272" i="15"/>
  <c r="E246" i="15"/>
  <c r="E254" i="15"/>
  <c r="E260" i="15"/>
  <c r="E247" i="15"/>
  <c r="E255" i="15"/>
  <c r="E261" i="15"/>
  <c r="E262" i="15"/>
  <c r="E256" i="15"/>
  <c r="E248" i="15"/>
  <c r="E249" i="15"/>
  <c r="E257" i="15"/>
  <c r="E263" i="15"/>
  <c r="E264" i="15"/>
  <c r="E258" i="15"/>
  <c r="E250" i="15"/>
  <c r="E251" i="15"/>
  <c r="E252" i="15"/>
  <c r="E253" i="15"/>
  <c r="E259" i="15"/>
  <c r="E265" i="15"/>
  <c r="E266" i="15"/>
  <c r="E269" i="15"/>
  <c r="E268" i="15"/>
  <c r="E267" i="15"/>
  <c r="E273" i="15"/>
  <c r="E270" i="15"/>
  <c r="E271" i="15"/>
  <c r="E90" i="15"/>
  <c r="E104" i="15"/>
  <c r="E111" i="15"/>
  <c r="E204" i="15"/>
  <c r="E205" i="15"/>
  <c r="E313" i="15"/>
  <c r="E314" i="15"/>
  <c r="E315" i="15"/>
  <c r="E321" i="15"/>
  <c r="E322" i="15"/>
  <c r="E44" i="15"/>
  <c r="E45" i="15"/>
  <c r="G45" i="15" s="1"/>
  <c r="E46" i="15"/>
  <c r="E47" i="15"/>
  <c r="E48" i="15"/>
  <c r="E49" i="15"/>
  <c r="E50" i="15"/>
  <c r="E51" i="15"/>
  <c r="E52" i="15"/>
  <c r="E81" i="15"/>
  <c r="E130" i="15"/>
  <c r="E86" i="15"/>
  <c r="E87" i="15"/>
  <c r="G87" i="15" s="1"/>
  <c r="E197" i="15"/>
  <c r="E198" i="15"/>
  <c r="E199" i="15"/>
  <c r="E200" i="15"/>
  <c r="E201" i="15"/>
  <c r="E202" i="15"/>
  <c r="E203" i="15"/>
  <c r="E309" i="15"/>
  <c r="E310" i="15"/>
  <c r="E311" i="15"/>
  <c r="E312" i="15"/>
  <c r="E319" i="15"/>
  <c r="E334" i="15"/>
  <c r="G334" i="15" s="1"/>
  <c r="E335" i="15"/>
  <c r="E336" i="15"/>
  <c r="E337" i="15"/>
  <c r="E338" i="15"/>
  <c r="E339" i="15"/>
  <c r="E82" i="15"/>
  <c r="E83" i="15"/>
  <c r="E84" i="15"/>
  <c r="E85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5" i="15"/>
  <c r="E106" i="15"/>
  <c r="E107" i="15"/>
  <c r="E108" i="15"/>
  <c r="E109" i="15"/>
  <c r="E11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206" i="15"/>
  <c r="E302" i="15"/>
  <c r="E340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G128" i="15" s="1"/>
  <c r="E129" i="15"/>
  <c r="E162" i="15"/>
  <c r="E163" i="15"/>
  <c r="E164" i="15"/>
  <c r="E165" i="15"/>
  <c r="E166" i="15"/>
  <c r="E167" i="15"/>
  <c r="E168" i="15"/>
  <c r="E169" i="15"/>
  <c r="E172" i="15"/>
  <c r="E303" i="15"/>
  <c r="E306" i="15"/>
  <c r="E307" i="15"/>
  <c r="E308" i="15"/>
  <c r="E147" i="15"/>
  <c r="E148" i="15"/>
  <c r="E149" i="15"/>
  <c r="E150" i="15"/>
  <c r="E151" i="15"/>
  <c r="E171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207" i="15"/>
  <c r="E228" i="15"/>
  <c r="E229" i="15"/>
  <c r="E230" i="15"/>
  <c r="E231" i="15"/>
  <c r="E232" i="15"/>
  <c r="E233" i="15"/>
  <c r="E234" i="15"/>
  <c r="E235" i="15"/>
  <c r="E286" i="15"/>
  <c r="E287" i="15"/>
  <c r="E288" i="15"/>
  <c r="E289" i="15"/>
  <c r="E290" i="15"/>
  <c r="E291" i="15"/>
  <c r="E642" i="15"/>
  <c r="E769" i="15"/>
  <c r="E31" i="15"/>
  <c r="E32" i="15"/>
  <c r="E33" i="15"/>
  <c r="E34" i="15"/>
  <c r="E35" i="15"/>
  <c r="E36" i="15"/>
  <c r="E53" i="15"/>
  <c r="E54" i="15"/>
  <c r="E55" i="15"/>
  <c r="E56" i="15"/>
  <c r="E57" i="15"/>
  <c r="E58" i="15"/>
  <c r="E6" i="15"/>
  <c r="E3" i="15"/>
  <c r="E26" i="15"/>
  <c r="E23" i="15"/>
  <c r="G23" i="15" s="1"/>
  <c r="E22" i="15"/>
  <c r="E21" i="15"/>
  <c r="E30" i="15"/>
  <c r="E29" i="15"/>
  <c r="E28" i="15"/>
  <c r="E27" i="15"/>
  <c r="E305" i="15"/>
  <c r="E304" i="15"/>
  <c r="E38" i="15"/>
  <c r="E39" i="15"/>
  <c r="E40" i="15"/>
  <c r="E37" i="15"/>
  <c r="E347" i="15"/>
  <c r="E348" i="15"/>
  <c r="E214" i="15"/>
  <c r="E216" i="15"/>
  <c r="E215" i="15"/>
  <c r="E212" i="15"/>
  <c r="E213" i="15"/>
  <c r="E211" i="15"/>
  <c r="E209" i="15"/>
  <c r="E208" i="15"/>
  <c r="E210" i="15"/>
  <c r="E15" i="15"/>
  <c r="E236" i="15"/>
  <c r="E16" i="15"/>
  <c r="E41" i="15"/>
  <c r="E60" i="15"/>
  <c r="E2" i="15"/>
  <c r="E42" i="15"/>
  <c r="E20" i="15"/>
  <c r="E19" i="15"/>
  <c r="E245" i="15"/>
  <c r="E242" i="15"/>
  <c r="E241" i="15"/>
  <c r="E237" i="15"/>
  <c r="E243" i="15"/>
  <c r="E244" i="15"/>
  <c r="E59" i="15"/>
  <c r="E240" i="15"/>
  <c r="E239" i="15"/>
  <c r="E238" i="15"/>
  <c r="E43" i="15"/>
  <c r="E17" i="15"/>
  <c r="E18" i="15"/>
  <c r="E324" i="15"/>
  <c r="E325" i="15"/>
  <c r="E326" i="15"/>
  <c r="E327" i="15"/>
  <c r="E328" i="15"/>
  <c r="E329" i="15"/>
  <c r="E330" i="15"/>
  <c r="E331" i="15"/>
  <c r="E332" i="15"/>
  <c r="E333" i="15"/>
  <c r="E196" i="15"/>
  <c r="E195" i="15"/>
  <c r="E194" i="15"/>
  <c r="E221" i="15"/>
  <c r="E115" i="15"/>
  <c r="E114" i="15"/>
  <c r="E113" i="15"/>
  <c r="E112" i="15"/>
  <c r="E193" i="15"/>
  <c r="E192" i="15"/>
  <c r="E191" i="15"/>
  <c r="E152" i="15"/>
  <c r="E153" i="15"/>
  <c r="E155" i="15"/>
  <c r="E154" i="15"/>
  <c r="E157" i="15"/>
  <c r="E156" i="15"/>
  <c r="E159" i="15"/>
  <c r="E158" i="15"/>
  <c r="E160" i="15"/>
  <c r="E161" i="15"/>
  <c r="E79" i="15"/>
  <c r="E77" i="15"/>
  <c r="E72" i="15"/>
  <c r="E68" i="15"/>
  <c r="E74" i="15"/>
  <c r="E78" i="15"/>
  <c r="E75" i="15"/>
  <c r="E71" i="15"/>
  <c r="E67" i="15"/>
  <c r="E70" i="15"/>
  <c r="E73" i="15"/>
  <c r="E66" i="15"/>
  <c r="E223" i="15"/>
  <c r="E222" i="15"/>
  <c r="E276" i="15"/>
  <c r="E274" i="15"/>
  <c r="E279" i="15"/>
  <c r="E281" i="15"/>
  <c r="E282" i="15"/>
  <c r="E280" i="15"/>
  <c r="E277" i="15"/>
  <c r="E275" i="15"/>
  <c r="E278" i="15"/>
  <c r="E285" i="15"/>
  <c r="E284" i="15"/>
  <c r="E283" i="15"/>
  <c r="E219" i="15"/>
  <c r="E217" i="15"/>
  <c r="E218" i="15"/>
  <c r="E220" i="15"/>
  <c r="E224" i="15"/>
  <c r="E170" i="15"/>
  <c r="E80" i="15"/>
  <c r="E88" i="15"/>
  <c r="E318" i="15"/>
  <c r="E317" i="15"/>
  <c r="E316" i="15"/>
  <c r="E63" i="15"/>
  <c r="E62" i="15"/>
  <c r="E61" i="15"/>
  <c r="E65" i="15"/>
  <c r="E64" i="15"/>
  <c r="E4" i="15"/>
  <c r="E5" i="15"/>
  <c r="E7" i="15"/>
  <c r="E8" i="15"/>
  <c r="E9" i="15"/>
  <c r="E10" i="15"/>
  <c r="E11" i="15"/>
  <c r="E12" i="15"/>
  <c r="E13" i="15"/>
  <c r="E14" i="15"/>
  <c r="E69" i="15"/>
  <c r="E76" i="15"/>
  <c r="E89" i="15"/>
  <c r="D128" i="15"/>
  <c r="D23" i="15" l="1"/>
  <c r="D334" i="15"/>
  <c r="D87" i="15"/>
  <c r="D45" i="15"/>
  <c r="D218" i="15"/>
  <c r="G218" i="15"/>
  <c r="D38" i="15"/>
  <c r="G38" i="15"/>
  <c r="D11" i="15"/>
  <c r="G11" i="15"/>
  <c r="D192" i="15"/>
  <c r="G192" i="15"/>
  <c r="D290" i="15"/>
  <c r="G290" i="15"/>
  <c r="D97" i="15"/>
  <c r="G97" i="15"/>
  <c r="D318" i="15"/>
  <c r="G318" i="15"/>
  <c r="D59" i="15"/>
  <c r="G59" i="15"/>
  <c r="D288" i="15"/>
  <c r="G288" i="15"/>
  <c r="D95" i="15"/>
  <c r="G95" i="15"/>
  <c r="D70" i="15"/>
  <c r="G70" i="15"/>
  <c r="D348" i="15"/>
  <c r="G348" i="15"/>
  <c r="D177" i="15"/>
  <c r="G177" i="15"/>
  <c r="D80" i="15"/>
  <c r="G80" i="15"/>
  <c r="D159" i="15"/>
  <c r="G159" i="15"/>
  <c r="D236" i="15"/>
  <c r="G236" i="15"/>
  <c r="D35" i="15"/>
  <c r="G35" i="15"/>
  <c r="D188" i="15"/>
  <c r="G188" i="15"/>
  <c r="D138" i="15"/>
  <c r="G138" i="15"/>
  <c r="D271" i="15"/>
  <c r="G271" i="15"/>
  <c r="D5" i="15"/>
  <c r="G5" i="15"/>
  <c r="D170" i="15"/>
  <c r="G170" i="15"/>
  <c r="D280" i="15"/>
  <c r="G280" i="15"/>
  <c r="D71" i="15"/>
  <c r="G71" i="15"/>
  <c r="D156" i="15"/>
  <c r="G156" i="15"/>
  <c r="D115" i="15"/>
  <c r="G115" i="15"/>
  <c r="D326" i="15"/>
  <c r="G326" i="15"/>
  <c r="D237" i="15"/>
  <c r="G237" i="15"/>
  <c r="D15" i="15"/>
  <c r="G15" i="15"/>
  <c r="D37" i="15"/>
  <c r="G37" i="15"/>
  <c r="D34" i="15"/>
  <c r="G34" i="15"/>
  <c r="D235" i="15"/>
  <c r="G235" i="15"/>
  <c r="D187" i="15"/>
  <c r="G187" i="15"/>
  <c r="D175" i="15"/>
  <c r="G175" i="15"/>
  <c r="D303" i="15"/>
  <c r="G303" i="15"/>
  <c r="D127" i="15"/>
  <c r="G127" i="15"/>
  <c r="D340" i="15"/>
  <c r="G340" i="15"/>
  <c r="D137" i="15"/>
  <c r="G137" i="15"/>
  <c r="D105" i="15"/>
  <c r="G105" i="15"/>
  <c r="D92" i="15"/>
  <c r="G92" i="15"/>
  <c r="D319" i="15"/>
  <c r="G319" i="15"/>
  <c r="D44" i="15"/>
  <c r="G44" i="15"/>
  <c r="D270" i="15"/>
  <c r="G270" i="15"/>
  <c r="D258" i="15"/>
  <c r="G258" i="15"/>
  <c r="D254" i="15"/>
  <c r="G254" i="15"/>
  <c r="D195" i="15"/>
  <c r="G195" i="15"/>
  <c r="D184" i="15"/>
  <c r="G184" i="15"/>
  <c r="D79" i="15"/>
  <c r="G79" i="15"/>
  <c r="D55" i="15"/>
  <c r="G55" i="15"/>
  <c r="D142" i="15"/>
  <c r="G142" i="15"/>
  <c r="D9" i="15"/>
  <c r="G9" i="15"/>
  <c r="D112" i="15"/>
  <c r="G112" i="15"/>
  <c r="D30" i="15"/>
  <c r="G30" i="15"/>
  <c r="D118" i="15"/>
  <c r="G118" i="15"/>
  <c r="D336" i="15"/>
  <c r="G336" i="15"/>
  <c r="D255" i="15"/>
  <c r="G255" i="15"/>
  <c r="D158" i="15"/>
  <c r="G158" i="15"/>
  <c r="D16" i="15"/>
  <c r="G16" i="15"/>
  <c r="D189" i="15"/>
  <c r="G189" i="15"/>
  <c r="D114" i="15"/>
  <c r="G114" i="15"/>
  <c r="D347" i="15"/>
  <c r="G347" i="15"/>
  <c r="D286" i="15"/>
  <c r="G286" i="15"/>
  <c r="D106" i="15"/>
  <c r="G106" i="15"/>
  <c r="D197" i="15"/>
  <c r="G197" i="15"/>
  <c r="D250" i="15"/>
  <c r="G250" i="15"/>
  <c r="D89" i="15"/>
  <c r="G89" i="15"/>
  <c r="D4" i="15"/>
  <c r="G4" i="15"/>
  <c r="D224" i="15"/>
  <c r="G224" i="15"/>
  <c r="D282" i="15"/>
  <c r="G282" i="15"/>
  <c r="D75" i="15"/>
  <c r="G75" i="15"/>
  <c r="D157" i="15"/>
  <c r="G157" i="15"/>
  <c r="D221" i="15"/>
  <c r="G221" i="15"/>
  <c r="D325" i="15"/>
  <c r="G325" i="15"/>
  <c r="D241" i="15"/>
  <c r="G241" i="15"/>
  <c r="D210" i="15"/>
  <c r="G210" i="15"/>
  <c r="D40" i="15"/>
  <c r="G40" i="15"/>
  <c r="D26" i="15"/>
  <c r="G26" i="15"/>
  <c r="D33" i="15"/>
  <c r="G33" i="15"/>
  <c r="D234" i="15"/>
  <c r="G234" i="15"/>
  <c r="D186" i="15"/>
  <c r="G186" i="15"/>
  <c r="D174" i="15"/>
  <c r="G174" i="15"/>
  <c r="D172" i="15"/>
  <c r="G172" i="15"/>
  <c r="D126" i="15"/>
  <c r="G126" i="15"/>
  <c r="D302" i="15"/>
  <c r="G302" i="15"/>
  <c r="D136" i="15"/>
  <c r="G136" i="15"/>
  <c r="D103" i="15"/>
  <c r="G103" i="15"/>
  <c r="D91" i="15"/>
  <c r="G91" i="15"/>
  <c r="D312" i="15"/>
  <c r="G312" i="15"/>
  <c r="D86" i="15"/>
  <c r="G86" i="15"/>
  <c r="D322" i="15"/>
  <c r="G322" i="15"/>
  <c r="D273" i="15"/>
  <c r="G273" i="15"/>
  <c r="D264" i="15"/>
  <c r="G264" i="15"/>
  <c r="D246" i="15"/>
  <c r="G246" i="15"/>
  <c r="D323" i="15"/>
  <c r="G323" i="15"/>
  <c r="D155" i="15"/>
  <c r="G155" i="15"/>
  <c r="D232" i="15"/>
  <c r="G232" i="15"/>
  <c r="D223" i="15"/>
  <c r="G223" i="15"/>
  <c r="D28" i="15"/>
  <c r="G28" i="15"/>
  <c r="D120" i="15"/>
  <c r="G120" i="15"/>
  <c r="D285" i="15"/>
  <c r="G285" i="15"/>
  <c r="D329" i="15"/>
  <c r="G329" i="15"/>
  <c r="D53" i="15"/>
  <c r="G53" i="15"/>
  <c r="D108" i="15"/>
  <c r="G108" i="15"/>
  <c r="D199" i="15"/>
  <c r="G199" i="15"/>
  <c r="D275" i="15"/>
  <c r="G275" i="15"/>
  <c r="D244" i="15"/>
  <c r="G244" i="15"/>
  <c r="D287" i="15"/>
  <c r="G287" i="15"/>
  <c r="D7" i="15"/>
  <c r="G7" i="15"/>
  <c r="D67" i="15"/>
  <c r="G67" i="15"/>
  <c r="D243" i="15"/>
  <c r="G243" i="15"/>
  <c r="D22" i="15"/>
  <c r="G22" i="15"/>
  <c r="D176" i="15"/>
  <c r="G176" i="15"/>
  <c r="D116" i="15"/>
  <c r="G116" i="15"/>
  <c r="D93" i="15"/>
  <c r="G93" i="15"/>
  <c r="D292" i="15"/>
  <c r="G292" i="15"/>
  <c r="D76" i="15"/>
  <c r="G76" i="15"/>
  <c r="D64" i="15"/>
  <c r="G64" i="15"/>
  <c r="D220" i="15"/>
  <c r="G220" i="15"/>
  <c r="D281" i="15"/>
  <c r="G281" i="15"/>
  <c r="D78" i="15"/>
  <c r="G78" i="15"/>
  <c r="D154" i="15"/>
  <c r="G154" i="15"/>
  <c r="D194" i="15"/>
  <c r="G194" i="15"/>
  <c r="D324" i="15"/>
  <c r="G324" i="15"/>
  <c r="D242" i="15"/>
  <c r="G242" i="15"/>
  <c r="D208" i="15"/>
  <c r="G208" i="15"/>
  <c r="D39" i="15"/>
  <c r="G39" i="15"/>
  <c r="D3" i="15"/>
  <c r="G3" i="15"/>
  <c r="D32" i="15"/>
  <c r="G32" i="15"/>
  <c r="D233" i="15"/>
  <c r="G233" i="15"/>
  <c r="D185" i="15"/>
  <c r="G185" i="15"/>
  <c r="D173" i="15"/>
  <c r="G173" i="15"/>
  <c r="D169" i="15"/>
  <c r="G169" i="15"/>
  <c r="D125" i="15"/>
  <c r="G125" i="15"/>
  <c r="D206" i="15"/>
  <c r="G206" i="15"/>
  <c r="D135" i="15"/>
  <c r="G135" i="15"/>
  <c r="D102" i="15"/>
  <c r="G102" i="15"/>
  <c r="D85" i="15"/>
  <c r="G85" i="15"/>
  <c r="D311" i="15"/>
  <c r="G311" i="15"/>
  <c r="D130" i="15"/>
  <c r="G130" i="15"/>
  <c r="D321" i="15"/>
  <c r="G321" i="15"/>
  <c r="D267" i="15"/>
  <c r="G267" i="15"/>
  <c r="D263" i="15"/>
  <c r="G263" i="15"/>
  <c r="D272" i="15"/>
  <c r="G272" i="15"/>
  <c r="D301" i="15"/>
  <c r="G301" i="15"/>
  <c r="D134" i="15"/>
  <c r="G134" i="15"/>
  <c r="D300" i="15"/>
  <c r="G300" i="15"/>
  <c r="D279" i="15"/>
  <c r="G279" i="15"/>
  <c r="D146" i="15"/>
  <c r="G146" i="15"/>
  <c r="D84" i="15"/>
  <c r="G84" i="15"/>
  <c r="D257" i="15"/>
  <c r="G257" i="15"/>
  <c r="D61" i="15"/>
  <c r="G61" i="15"/>
  <c r="D68" i="15"/>
  <c r="G68" i="15"/>
  <c r="D17" i="15"/>
  <c r="G17" i="15"/>
  <c r="D58" i="15"/>
  <c r="G58" i="15"/>
  <c r="D167" i="15"/>
  <c r="G167" i="15"/>
  <c r="D269" i="15"/>
  <c r="G269" i="15"/>
  <c r="D69" i="15"/>
  <c r="G69" i="15"/>
  <c r="D209" i="15"/>
  <c r="G209" i="15"/>
  <c r="D124" i="15"/>
  <c r="G124" i="15"/>
  <c r="D101" i="15"/>
  <c r="G101" i="15"/>
  <c r="D310" i="15"/>
  <c r="G310" i="15"/>
  <c r="D81" i="15"/>
  <c r="G81" i="15"/>
  <c r="D315" i="15"/>
  <c r="G315" i="15"/>
  <c r="D268" i="15"/>
  <c r="G268" i="15"/>
  <c r="D14" i="15"/>
  <c r="G14" i="15"/>
  <c r="D217" i="15"/>
  <c r="G217" i="15"/>
  <c r="D274" i="15"/>
  <c r="G274" i="15"/>
  <c r="D153" i="15"/>
  <c r="G153" i="15"/>
  <c r="D196" i="15"/>
  <c r="G196" i="15"/>
  <c r="D19" i="15"/>
  <c r="G19" i="15"/>
  <c r="D211" i="15"/>
  <c r="G211" i="15"/>
  <c r="D304" i="15"/>
  <c r="G304" i="15"/>
  <c r="D769" i="15"/>
  <c r="G769" i="15"/>
  <c r="D231" i="15"/>
  <c r="G231" i="15"/>
  <c r="D183" i="15"/>
  <c r="G183" i="15"/>
  <c r="D151" i="15"/>
  <c r="G151" i="15"/>
  <c r="D123" i="15"/>
  <c r="G123" i="15"/>
  <c r="D145" i="15"/>
  <c r="G145" i="15"/>
  <c r="D133" i="15"/>
  <c r="G133" i="15"/>
  <c r="D100" i="15"/>
  <c r="G100" i="15"/>
  <c r="D83" i="15"/>
  <c r="G83" i="15"/>
  <c r="D309" i="15"/>
  <c r="G309" i="15"/>
  <c r="D52" i="15"/>
  <c r="G52" i="15"/>
  <c r="D314" i="15"/>
  <c r="G314" i="15"/>
  <c r="D249" i="15"/>
  <c r="G249" i="15"/>
  <c r="D299" i="15"/>
  <c r="G299" i="15"/>
  <c r="D13" i="15"/>
  <c r="G13" i="15"/>
  <c r="D62" i="15"/>
  <c r="G62" i="15"/>
  <c r="D219" i="15"/>
  <c r="G219" i="15"/>
  <c r="D276" i="15"/>
  <c r="G276" i="15"/>
  <c r="D72" i="15"/>
  <c r="G72" i="15"/>
  <c r="D152" i="15"/>
  <c r="G152" i="15"/>
  <c r="D333" i="15"/>
  <c r="G333" i="15"/>
  <c r="D43" i="15"/>
  <c r="G43" i="15"/>
  <c r="D20" i="15"/>
  <c r="G20" i="15"/>
  <c r="D213" i="15"/>
  <c r="G213" i="15"/>
  <c r="D305" i="15"/>
  <c r="G305" i="15"/>
  <c r="D57" i="15"/>
  <c r="G57" i="15"/>
  <c r="D642" i="15"/>
  <c r="G642" i="15"/>
  <c r="D230" i="15"/>
  <c r="G230" i="15"/>
  <c r="D182" i="15"/>
  <c r="G182" i="15"/>
  <c r="D150" i="15"/>
  <c r="G150" i="15"/>
  <c r="D166" i="15"/>
  <c r="G166" i="15"/>
  <c r="D122" i="15"/>
  <c r="G122" i="15"/>
  <c r="D144" i="15"/>
  <c r="G144" i="15"/>
  <c r="D132" i="15"/>
  <c r="G132" i="15"/>
  <c r="D99" i="15"/>
  <c r="G99" i="15"/>
  <c r="D82" i="15"/>
  <c r="G82" i="15"/>
  <c r="D203" i="15"/>
  <c r="G203" i="15"/>
  <c r="D51" i="15"/>
  <c r="G51" i="15"/>
  <c r="D313" i="15"/>
  <c r="G313" i="15"/>
  <c r="D266" i="15"/>
  <c r="G266" i="15"/>
  <c r="D248" i="15"/>
  <c r="G248" i="15"/>
  <c r="D298" i="15"/>
  <c r="G298" i="15"/>
  <c r="D65" i="15"/>
  <c r="G65" i="15"/>
  <c r="D168" i="15"/>
  <c r="G168" i="15"/>
  <c r="D12" i="15"/>
  <c r="G12" i="15"/>
  <c r="D63" i="15"/>
  <c r="G63" i="15"/>
  <c r="D283" i="15"/>
  <c r="G283" i="15"/>
  <c r="D222" i="15"/>
  <c r="G222" i="15"/>
  <c r="D77" i="15"/>
  <c r="G77" i="15"/>
  <c r="D191" i="15"/>
  <c r="G191" i="15"/>
  <c r="D332" i="15"/>
  <c r="G332" i="15"/>
  <c r="D238" i="15"/>
  <c r="G238" i="15"/>
  <c r="D42" i="15"/>
  <c r="G42" i="15"/>
  <c r="D212" i="15"/>
  <c r="G212" i="15"/>
  <c r="D27" i="15"/>
  <c r="G27" i="15"/>
  <c r="D56" i="15"/>
  <c r="G56" i="15"/>
  <c r="D291" i="15"/>
  <c r="G291" i="15"/>
  <c r="D229" i="15"/>
  <c r="G229" i="15"/>
  <c r="D181" i="15"/>
  <c r="G181" i="15"/>
  <c r="D149" i="15"/>
  <c r="G149" i="15"/>
  <c r="D165" i="15"/>
  <c r="G165" i="15"/>
  <c r="D121" i="15"/>
  <c r="G121" i="15"/>
  <c r="D143" i="15"/>
  <c r="G143" i="15"/>
  <c r="D131" i="15"/>
  <c r="G131" i="15"/>
  <c r="D98" i="15"/>
  <c r="G98" i="15"/>
  <c r="D339" i="15"/>
  <c r="G339" i="15"/>
  <c r="D202" i="15"/>
  <c r="G202" i="15"/>
  <c r="D50" i="15"/>
  <c r="G50" i="15"/>
  <c r="D205" i="15"/>
  <c r="G205" i="15"/>
  <c r="D265" i="15"/>
  <c r="G265" i="15"/>
  <c r="D256" i="15"/>
  <c r="G256" i="15"/>
  <c r="D297" i="15"/>
  <c r="G297" i="15"/>
  <c r="D18" i="15"/>
  <c r="G18" i="15"/>
  <c r="D215" i="15"/>
  <c r="G215" i="15"/>
  <c r="D110" i="15"/>
  <c r="G110" i="15"/>
  <c r="D338" i="15"/>
  <c r="G338" i="15"/>
  <c r="D201" i="15"/>
  <c r="G201" i="15"/>
  <c r="D49" i="15"/>
  <c r="G49" i="15"/>
  <c r="D204" i="15"/>
  <c r="G204" i="15"/>
  <c r="D259" i="15"/>
  <c r="G259" i="15"/>
  <c r="D262" i="15"/>
  <c r="G262" i="15"/>
  <c r="D296" i="15"/>
  <c r="G296" i="15"/>
  <c r="D74" i="15"/>
  <c r="G74" i="15"/>
  <c r="D171" i="15"/>
  <c r="G171" i="15"/>
  <c r="D331" i="15"/>
  <c r="G331" i="15"/>
  <c r="D148" i="15"/>
  <c r="G148" i="15"/>
  <c r="D66" i="15"/>
  <c r="G66" i="15"/>
  <c r="D161" i="15"/>
  <c r="G161" i="15"/>
  <c r="D193" i="15"/>
  <c r="G193" i="15"/>
  <c r="D330" i="15"/>
  <c r="G330" i="15"/>
  <c r="D240" i="15"/>
  <c r="G240" i="15"/>
  <c r="D60" i="15"/>
  <c r="G60" i="15"/>
  <c r="D216" i="15"/>
  <c r="G216" i="15"/>
  <c r="D29" i="15"/>
  <c r="G29" i="15"/>
  <c r="D54" i="15"/>
  <c r="G54" i="15"/>
  <c r="D289" i="15"/>
  <c r="G289" i="15"/>
  <c r="D207" i="15"/>
  <c r="G207" i="15"/>
  <c r="D179" i="15"/>
  <c r="G179" i="15"/>
  <c r="D147" i="15"/>
  <c r="G147" i="15"/>
  <c r="D163" i="15"/>
  <c r="G163" i="15"/>
  <c r="D119" i="15"/>
  <c r="G119" i="15"/>
  <c r="D141" i="15"/>
  <c r="G141" i="15"/>
  <c r="D109" i="15"/>
  <c r="G109" i="15"/>
  <c r="D96" i="15"/>
  <c r="G96" i="15"/>
  <c r="D337" i="15"/>
  <c r="G337" i="15"/>
  <c r="D200" i="15"/>
  <c r="G200" i="15"/>
  <c r="D48" i="15"/>
  <c r="G48" i="15"/>
  <c r="D111" i="15"/>
  <c r="G111" i="15"/>
  <c r="D253" i="15"/>
  <c r="G253" i="15"/>
  <c r="D261" i="15"/>
  <c r="G261" i="15"/>
  <c r="D295" i="15"/>
  <c r="G295" i="15"/>
  <c r="D31" i="15"/>
  <c r="G31" i="15"/>
  <c r="D228" i="15"/>
  <c r="G228" i="15"/>
  <c r="D278" i="15"/>
  <c r="G278" i="15"/>
  <c r="D308" i="15"/>
  <c r="G308" i="15"/>
  <c r="D47" i="15"/>
  <c r="G47" i="15"/>
  <c r="D294" i="15"/>
  <c r="G294" i="15"/>
  <c r="D245" i="15"/>
  <c r="G245" i="15"/>
  <c r="D316" i="15"/>
  <c r="G316" i="15"/>
  <c r="D239" i="15"/>
  <c r="G239" i="15"/>
  <c r="D164" i="15"/>
  <c r="G164" i="15"/>
  <c r="D10" i="15"/>
  <c r="G10" i="15"/>
  <c r="D160" i="15"/>
  <c r="G160" i="15"/>
  <c r="D41" i="15"/>
  <c r="G41" i="15"/>
  <c r="D190" i="15"/>
  <c r="G190" i="15"/>
  <c r="D140" i="15"/>
  <c r="G140" i="15"/>
  <c r="D252" i="15"/>
  <c r="G252" i="15"/>
  <c r="D88" i="15"/>
  <c r="G88" i="15"/>
  <c r="D328" i="15"/>
  <c r="G328" i="15"/>
  <c r="D21" i="15"/>
  <c r="G21" i="15"/>
  <c r="D307" i="15"/>
  <c r="G307" i="15"/>
  <c r="D129" i="15"/>
  <c r="G129" i="15"/>
  <c r="D117" i="15"/>
  <c r="G117" i="15"/>
  <c r="D139" i="15"/>
  <c r="G139" i="15"/>
  <c r="D107" i="15"/>
  <c r="G107" i="15"/>
  <c r="D94" i="15"/>
  <c r="G94" i="15"/>
  <c r="D335" i="15"/>
  <c r="G335" i="15"/>
  <c r="D198" i="15"/>
  <c r="G198" i="15"/>
  <c r="D46" i="15"/>
  <c r="G46" i="15"/>
  <c r="D90" i="15"/>
  <c r="G90" i="15"/>
  <c r="D251" i="15"/>
  <c r="G251" i="15"/>
  <c r="D247" i="15"/>
  <c r="G247" i="15"/>
  <c r="D293" i="15"/>
  <c r="G293" i="15"/>
  <c r="D6" i="15"/>
  <c r="G6" i="15"/>
  <c r="D284" i="15"/>
  <c r="G284" i="15"/>
  <c r="D2" i="15"/>
  <c r="G2" i="15"/>
  <c r="D180" i="15"/>
  <c r="G180" i="15"/>
  <c r="D317" i="15"/>
  <c r="G317" i="15"/>
  <c r="D73" i="15"/>
  <c r="G73" i="15"/>
  <c r="D214" i="15"/>
  <c r="G214" i="15"/>
  <c r="D178" i="15"/>
  <c r="G178" i="15"/>
  <c r="D162" i="15"/>
  <c r="G162" i="15"/>
  <c r="D104" i="15"/>
  <c r="G104" i="15"/>
  <c r="D8" i="15"/>
  <c r="G8" i="15"/>
  <c r="D113" i="15"/>
  <c r="G113" i="15"/>
  <c r="D36" i="15"/>
  <c r="G36" i="15"/>
  <c r="D277" i="15"/>
  <c r="G277" i="15"/>
  <c r="D327" i="15"/>
  <c r="G327" i="15"/>
  <c r="D306" i="15"/>
  <c r="G306" i="15"/>
  <c r="D260" i="15"/>
  <c r="G260" i="15"/>
  <c r="D320" i="15"/>
</calcChain>
</file>

<file path=xl/sharedStrings.xml><?xml version="1.0" encoding="utf-8"?>
<sst xmlns="http://schemas.openxmlformats.org/spreadsheetml/2006/main" count="2511" uniqueCount="925">
  <si>
    <t>F</t>
    <phoneticPr fontId="1"/>
  </si>
  <si>
    <t>L</t>
    <phoneticPr fontId="1"/>
  </si>
  <si>
    <t>M</t>
    <phoneticPr fontId="1"/>
  </si>
  <si>
    <t>E</t>
    <phoneticPr fontId="1"/>
  </si>
  <si>
    <t>K</t>
    <phoneticPr fontId="1"/>
  </si>
  <si>
    <t>D</t>
    <phoneticPr fontId="1"/>
  </si>
  <si>
    <t>J</t>
    <phoneticPr fontId="1"/>
  </si>
  <si>
    <t>C</t>
    <phoneticPr fontId="1"/>
  </si>
  <si>
    <t>I</t>
    <phoneticPr fontId="1"/>
  </si>
  <si>
    <t>B</t>
    <phoneticPr fontId="1"/>
  </si>
  <si>
    <t>H</t>
    <phoneticPr fontId="1"/>
  </si>
  <si>
    <t>A</t>
    <phoneticPr fontId="1"/>
  </si>
  <si>
    <t>G</t>
    <phoneticPr fontId="1"/>
  </si>
  <si>
    <t>2F渡り廊下</t>
    <phoneticPr fontId="1"/>
  </si>
  <si>
    <t>商品コード</t>
    <rPh sb="0" eb="2">
      <t>ショウヒン</t>
    </rPh>
    <phoneticPr fontId="1"/>
  </si>
  <si>
    <t>商品名</t>
    <rPh sb="0" eb="3">
      <t>ショウヒンメイ</t>
    </rPh>
    <phoneticPr fontId="1"/>
  </si>
  <si>
    <t>番地
(アルファベット)</t>
    <rPh sb="0" eb="2">
      <t>バンチ</t>
    </rPh>
    <phoneticPr fontId="1"/>
  </si>
  <si>
    <t>部屋名</t>
    <rPh sb="0" eb="2">
      <t>ヘヤ</t>
    </rPh>
    <rPh sb="2" eb="3">
      <t>メイ</t>
    </rPh>
    <phoneticPr fontId="1"/>
  </si>
  <si>
    <t>部屋番号</t>
    <rPh sb="0" eb="4">
      <t>ヘヤバンゴウ</t>
    </rPh>
    <phoneticPr fontId="1"/>
  </si>
  <si>
    <t>部屋番号</t>
    <rPh sb="0" eb="2">
      <t>ヘヤ</t>
    </rPh>
    <rPh sb="2" eb="4">
      <t>バンゴウ</t>
    </rPh>
    <phoneticPr fontId="1"/>
  </si>
  <si>
    <t>A20242</t>
    <phoneticPr fontId="1"/>
  </si>
  <si>
    <t>04</t>
    <phoneticPr fontId="1"/>
  </si>
  <si>
    <t>01</t>
    <phoneticPr fontId="1"/>
  </si>
  <si>
    <t>A20246</t>
    <phoneticPr fontId="1"/>
  </si>
  <si>
    <t>02</t>
    <phoneticPr fontId="1"/>
  </si>
  <si>
    <t>A20277</t>
    <phoneticPr fontId="1"/>
  </si>
  <si>
    <t>03</t>
    <phoneticPr fontId="1"/>
  </si>
  <si>
    <t>A20292</t>
    <phoneticPr fontId="1"/>
  </si>
  <si>
    <t>1F釣具部屋</t>
    <phoneticPr fontId="1"/>
  </si>
  <si>
    <t>A21013</t>
    <phoneticPr fontId="1"/>
  </si>
  <si>
    <t>05</t>
    <phoneticPr fontId="1"/>
  </si>
  <si>
    <t>A21020</t>
    <phoneticPr fontId="1"/>
  </si>
  <si>
    <t>06</t>
    <phoneticPr fontId="1"/>
  </si>
  <si>
    <t>C20276</t>
    <phoneticPr fontId="1"/>
  </si>
  <si>
    <t>C20277</t>
    <phoneticPr fontId="1"/>
  </si>
  <si>
    <t>C20278</t>
    <phoneticPr fontId="1"/>
  </si>
  <si>
    <t>C20293</t>
    <phoneticPr fontId="1"/>
  </si>
  <si>
    <t>C20294</t>
    <phoneticPr fontId="1"/>
  </si>
  <si>
    <t>A12601</t>
    <phoneticPr fontId="1"/>
  </si>
  <si>
    <t>A12602</t>
    <phoneticPr fontId="1"/>
  </si>
  <si>
    <t>A12701</t>
    <phoneticPr fontId="1"/>
  </si>
  <si>
    <t>A12702</t>
    <phoneticPr fontId="1"/>
  </si>
  <si>
    <t>A12801</t>
    <phoneticPr fontId="1"/>
  </si>
  <si>
    <t>A12802</t>
    <phoneticPr fontId="1"/>
  </si>
  <si>
    <t>A12901</t>
    <phoneticPr fontId="1"/>
  </si>
  <si>
    <t>A12902</t>
    <phoneticPr fontId="1"/>
  </si>
  <si>
    <t>A13001</t>
    <phoneticPr fontId="1"/>
  </si>
  <si>
    <t>A20206</t>
    <phoneticPr fontId="1"/>
  </si>
  <si>
    <t>A20340</t>
    <phoneticPr fontId="1"/>
  </si>
  <si>
    <t>A20226</t>
    <phoneticPr fontId="1"/>
  </si>
  <si>
    <t>A20227</t>
    <phoneticPr fontId="1"/>
  </si>
  <si>
    <t>A20910</t>
    <phoneticPr fontId="1"/>
  </si>
  <si>
    <t>A20916</t>
    <phoneticPr fontId="1"/>
  </si>
  <si>
    <t>A20939</t>
    <phoneticPr fontId="1"/>
  </si>
  <si>
    <t>A20959</t>
    <phoneticPr fontId="1"/>
  </si>
  <si>
    <t>A20961</t>
    <phoneticPr fontId="1"/>
  </si>
  <si>
    <t>A20963</t>
    <phoneticPr fontId="1"/>
  </si>
  <si>
    <t>A20964</t>
    <phoneticPr fontId="1"/>
  </si>
  <si>
    <t>C20264</t>
    <phoneticPr fontId="1"/>
  </si>
  <si>
    <t>C20265</t>
    <phoneticPr fontId="1"/>
  </si>
  <si>
    <t>C20266</t>
    <phoneticPr fontId="1"/>
  </si>
  <si>
    <t>C20267</t>
    <phoneticPr fontId="1"/>
  </si>
  <si>
    <t>C20291</t>
    <phoneticPr fontId="1"/>
  </si>
  <si>
    <t>C20323</t>
    <phoneticPr fontId="1"/>
  </si>
  <si>
    <t>C20324</t>
    <phoneticPr fontId="1"/>
  </si>
  <si>
    <t>C20325</t>
    <phoneticPr fontId="1"/>
  </si>
  <si>
    <t>C20326</t>
    <phoneticPr fontId="1"/>
  </si>
  <si>
    <t>C20327</t>
    <phoneticPr fontId="1"/>
  </si>
  <si>
    <t>C20328</t>
    <phoneticPr fontId="1"/>
  </si>
  <si>
    <t>A20208</t>
    <phoneticPr fontId="1"/>
  </si>
  <si>
    <t>A20209</t>
    <phoneticPr fontId="1"/>
  </si>
  <si>
    <t>A20215</t>
    <phoneticPr fontId="1"/>
  </si>
  <si>
    <t>A20216</t>
    <phoneticPr fontId="1"/>
  </si>
  <si>
    <t>A20248</t>
    <phoneticPr fontId="1"/>
  </si>
  <si>
    <t>A20252</t>
    <phoneticPr fontId="1"/>
  </si>
  <si>
    <t>A20254</t>
    <phoneticPr fontId="1"/>
  </si>
  <si>
    <t>A20258</t>
    <phoneticPr fontId="1"/>
  </si>
  <si>
    <t>A20259</t>
    <phoneticPr fontId="1"/>
  </si>
  <si>
    <t>A20262</t>
    <phoneticPr fontId="1"/>
  </si>
  <si>
    <t>A20264</t>
    <phoneticPr fontId="1"/>
  </si>
  <si>
    <t>A20265</t>
    <phoneticPr fontId="1"/>
  </si>
  <si>
    <t>A20268</t>
    <phoneticPr fontId="1"/>
  </si>
  <si>
    <t>A20270</t>
    <phoneticPr fontId="1"/>
  </si>
  <si>
    <t>A20271</t>
    <phoneticPr fontId="1"/>
  </si>
  <si>
    <t>A20272</t>
    <phoneticPr fontId="1"/>
  </si>
  <si>
    <t>A20276</t>
    <phoneticPr fontId="1"/>
  </si>
  <si>
    <t>A20278</t>
    <phoneticPr fontId="1"/>
  </si>
  <si>
    <t>A20280</t>
    <phoneticPr fontId="1"/>
  </si>
  <si>
    <t>A20281</t>
    <phoneticPr fontId="1"/>
  </si>
  <si>
    <t>A20283</t>
    <phoneticPr fontId="1"/>
  </si>
  <si>
    <t>A20284</t>
    <phoneticPr fontId="1"/>
  </si>
  <si>
    <t>A20285</t>
    <phoneticPr fontId="1"/>
  </si>
  <si>
    <t>A20341</t>
    <phoneticPr fontId="1"/>
  </si>
  <si>
    <t>A20342</t>
    <phoneticPr fontId="1"/>
  </si>
  <si>
    <t>A20343</t>
    <phoneticPr fontId="1"/>
  </si>
  <si>
    <t>A20344</t>
    <phoneticPr fontId="1"/>
  </si>
  <si>
    <t>A20345</t>
    <phoneticPr fontId="1"/>
  </si>
  <si>
    <t>A20346</t>
    <phoneticPr fontId="1"/>
  </si>
  <si>
    <t>A20350</t>
    <phoneticPr fontId="1"/>
  </si>
  <si>
    <t>A20351</t>
    <phoneticPr fontId="1"/>
  </si>
  <si>
    <t>A20352</t>
    <phoneticPr fontId="1"/>
  </si>
  <si>
    <t>A20353</t>
    <phoneticPr fontId="1"/>
  </si>
  <si>
    <t>A20354</t>
    <phoneticPr fontId="1"/>
  </si>
  <si>
    <t>A20355</t>
    <phoneticPr fontId="1"/>
  </si>
  <si>
    <t>A20356</t>
    <phoneticPr fontId="1"/>
  </si>
  <si>
    <t>A20357</t>
    <phoneticPr fontId="1"/>
  </si>
  <si>
    <t>A20358</t>
    <phoneticPr fontId="1"/>
  </si>
  <si>
    <t>A20360</t>
    <phoneticPr fontId="1"/>
  </si>
  <si>
    <t>A21031</t>
    <phoneticPr fontId="1"/>
  </si>
  <si>
    <t>C20214</t>
    <phoneticPr fontId="1"/>
  </si>
  <si>
    <t>C20329</t>
    <phoneticPr fontId="1"/>
  </si>
  <si>
    <t>A20307</t>
    <phoneticPr fontId="1"/>
  </si>
  <si>
    <t>A20308</t>
    <phoneticPr fontId="1"/>
  </si>
  <si>
    <t>A20309</t>
    <phoneticPr fontId="1"/>
  </si>
  <si>
    <t>A20310</t>
    <phoneticPr fontId="1"/>
  </si>
  <si>
    <t>A20311</t>
    <phoneticPr fontId="1"/>
  </si>
  <si>
    <t>A20312</t>
    <phoneticPr fontId="1"/>
  </si>
  <si>
    <t>A20313</t>
    <phoneticPr fontId="1"/>
  </si>
  <si>
    <t>A20321</t>
    <phoneticPr fontId="1"/>
  </si>
  <si>
    <t>A20331</t>
    <phoneticPr fontId="1"/>
  </si>
  <si>
    <t>A20333</t>
    <phoneticPr fontId="1"/>
  </si>
  <si>
    <t>A20334</t>
    <phoneticPr fontId="1"/>
  </si>
  <si>
    <t>A20335</t>
    <phoneticPr fontId="1"/>
  </si>
  <si>
    <t>A20336</t>
    <phoneticPr fontId="1"/>
  </si>
  <si>
    <t>A20337</t>
    <phoneticPr fontId="1"/>
  </si>
  <si>
    <t>A20376</t>
    <phoneticPr fontId="1"/>
  </si>
  <si>
    <t>A20377</t>
    <phoneticPr fontId="1"/>
  </si>
  <si>
    <t>A20378</t>
    <phoneticPr fontId="1"/>
  </si>
  <si>
    <t>A20379</t>
    <phoneticPr fontId="1"/>
  </si>
  <si>
    <t>A20380</t>
    <phoneticPr fontId="1"/>
  </si>
  <si>
    <t>A20381</t>
    <phoneticPr fontId="1"/>
  </si>
  <si>
    <t>A20382</t>
    <phoneticPr fontId="1"/>
  </si>
  <si>
    <t>A20383</t>
    <phoneticPr fontId="1"/>
  </si>
  <si>
    <t>A20386</t>
    <phoneticPr fontId="1"/>
  </si>
  <si>
    <t>C20215</t>
    <phoneticPr fontId="1"/>
  </si>
  <si>
    <t>C20250</t>
    <phoneticPr fontId="1"/>
  </si>
  <si>
    <t>C20251</t>
    <phoneticPr fontId="1"/>
  </si>
  <si>
    <t>C20258</t>
    <phoneticPr fontId="1"/>
  </si>
  <si>
    <t>A20361</t>
    <phoneticPr fontId="1"/>
  </si>
  <si>
    <t>A20362</t>
    <phoneticPr fontId="1"/>
  </si>
  <si>
    <t>A20363</t>
    <phoneticPr fontId="1"/>
  </si>
  <si>
    <t>A20364</t>
    <phoneticPr fontId="1"/>
  </si>
  <si>
    <t>A20365</t>
    <phoneticPr fontId="1"/>
  </si>
  <si>
    <t>A20385</t>
    <phoneticPr fontId="1"/>
  </si>
  <si>
    <t>A20411</t>
    <phoneticPr fontId="1"/>
  </si>
  <si>
    <t>A20412</t>
    <phoneticPr fontId="1"/>
  </si>
  <si>
    <t>A20413</t>
    <phoneticPr fontId="1"/>
  </si>
  <si>
    <t>A20414</t>
    <phoneticPr fontId="1"/>
  </si>
  <si>
    <t>A20415</t>
    <phoneticPr fontId="1"/>
  </si>
  <si>
    <t>A20416</t>
    <phoneticPr fontId="1"/>
  </si>
  <si>
    <t>A20417</t>
    <phoneticPr fontId="1"/>
  </si>
  <si>
    <t>A20418</t>
    <phoneticPr fontId="1"/>
  </si>
  <si>
    <t>A20419</t>
    <phoneticPr fontId="1"/>
  </si>
  <si>
    <t>A20420</t>
    <phoneticPr fontId="1"/>
  </si>
  <si>
    <t>A20421</t>
    <phoneticPr fontId="1"/>
  </si>
  <si>
    <t>A20422</t>
    <phoneticPr fontId="1"/>
  </si>
  <si>
    <t>A20423</t>
    <phoneticPr fontId="1"/>
  </si>
  <si>
    <t>A20424</t>
    <phoneticPr fontId="1"/>
  </si>
  <si>
    <t>A20425</t>
    <phoneticPr fontId="1"/>
  </si>
  <si>
    <t>A20426</t>
    <phoneticPr fontId="1"/>
  </si>
  <si>
    <t>A20427</t>
    <phoneticPr fontId="1"/>
  </si>
  <si>
    <t>A20428</t>
    <phoneticPr fontId="1"/>
  </si>
  <si>
    <t>A21047</t>
    <phoneticPr fontId="1"/>
  </si>
  <si>
    <t>A25302</t>
    <phoneticPr fontId="1"/>
  </si>
  <si>
    <t>A25304</t>
    <phoneticPr fontId="1"/>
  </si>
  <si>
    <t>A25306</t>
    <phoneticPr fontId="1"/>
  </si>
  <si>
    <t>A25401</t>
    <phoneticPr fontId="1"/>
  </si>
  <si>
    <t>A25403</t>
    <phoneticPr fontId="1"/>
  </si>
  <si>
    <t>A25404</t>
    <phoneticPr fontId="1"/>
  </si>
  <si>
    <t>A25405</t>
    <phoneticPr fontId="1"/>
  </si>
  <si>
    <t>A26402</t>
    <phoneticPr fontId="1"/>
  </si>
  <si>
    <t>C00312</t>
    <phoneticPr fontId="1"/>
  </si>
  <si>
    <t>C00313</t>
    <phoneticPr fontId="1"/>
  </si>
  <si>
    <t>C00314</t>
    <phoneticPr fontId="1"/>
  </si>
  <si>
    <t>C00315</t>
    <phoneticPr fontId="1"/>
  </si>
  <si>
    <t>C00316</t>
    <phoneticPr fontId="1"/>
  </si>
  <si>
    <t>C00317</t>
    <phoneticPr fontId="1"/>
  </si>
  <si>
    <t>G09224</t>
    <phoneticPr fontId="1"/>
  </si>
  <si>
    <t>G80238</t>
    <phoneticPr fontId="1"/>
  </si>
  <si>
    <t>A05011</t>
    <phoneticPr fontId="1"/>
  </si>
  <si>
    <t>A05012</t>
    <phoneticPr fontId="1"/>
  </si>
  <si>
    <t>A05015</t>
    <phoneticPr fontId="1"/>
  </si>
  <si>
    <t>A05016</t>
    <phoneticPr fontId="1"/>
  </si>
  <si>
    <t>A05019</t>
    <phoneticPr fontId="1"/>
  </si>
  <si>
    <t>A05020</t>
    <phoneticPr fontId="1"/>
  </si>
  <si>
    <t>A15101</t>
    <phoneticPr fontId="1"/>
  </si>
  <si>
    <t>A15102</t>
    <phoneticPr fontId="1"/>
  </si>
  <si>
    <t>A15103</t>
    <phoneticPr fontId="1"/>
  </si>
  <si>
    <t>A15104</t>
    <phoneticPr fontId="1"/>
  </si>
  <si>
    <t>A15105</t>
    <phoneticPr fontId="1"/>
  </si>
  <si>
    <t>A15106</t>
    <phoneticPr fontId="1"/>
  </si>
  <si>
    <t>A00309</t>
    <phoneticPr fontId="1"/>
  </si>
  <si>
    <t>A00209</t>
    <phoneticPr fontId="1"/>
  </si>
  <si>
    <t>A02001</t>
    <phoneticPr fontId="1"/>
  </si>
  <si>
    <t>A01604</t>
    <phoneticPr fontId="1"/>
  </si>
  <si>
    <t>A01602</t>
    <phoneticPr fontId="1"/>
  </si>
  <si>
    <t>A01601</t>
    <phoneticPr fontId="1"/>
  </si>
  <si>
    <t>A03202</t>
    <phoneticPr fontId="1"/>
  </si>
  <si>
    <t>A03201</t>
    <phoneticPr fontId="1"/>
  </si>
  <si>
    <t>A03102</t>
    <phoneticPr fontId="1"/>
  </si>
  <si>
    <t>A03002</t>
    <phoneticPr fontId="1"/>
  </si>
  <si>
    <t>C20237</t>
    <phoneticPr fontId="1"/>
  </si>
  <si>
    <t>C20221</t>
    <phoneticPr fontId="1"/>
  </si>
  <si>
    <t>A05412</t>
    <phoneticPr fontId="1"/>
  </si>
  <si>
    <t>A05413</t>
    <phoneticPr fontId="1"/>
  </si>
  <si>
    <t>A05414</t>
    <phoneticPr fontId="1"/>
  </si>
  <si>
    <t>A05411</t>
    <phoneticPr fontId="1"/>
  </si>
  <si>
    <t>C21080</t>
    <phoneticPr fontId="1"/>
  </si>
  <si>
    <t>C21081</t>
    <phoneticPr fontId="1"/>
  </si>
  <si>
    <t>A21073</t>
    <phoneticPr fontId="1"/>
  </si>
  <si>
    <t>A21076</t>
    <phoneticPr fontId="1"/>
  </si>
  <si>
    <t>A21075</t>
    <phoneticPr fontId="1"/>
  </si>
  <si>
    <t>A21069</t>
    <phoneticPr fontId="1"/>
  </si>
  <si>
    <t>A21070</t>
    <phoneticPr fontId="1"/>
  </si>
  <si>
    <t>A21068</t>
    <phoneticPr fontId="1"/>
  </si>
  <si>
    <t>A21066</t>
    <phoneticPr fontId="1"/>
  </si>
  <si>
    <t>A21065</t>
    <phoneticPr fontId="1"/>
  </si>
  <si>
    <t>A21067</t>
    <phoneticPr fontId="1"/>
  </si>
  <si>
    <t>A00601</t>
    <phoneticPr fontId="1"/>
  </si>
  <si>
    <t>C00101</t>
    <phoneticPr fontId="1"/>
  </si>
  <si>
    <t>A00701</t>
    <phoneticPr fontId="1"/>
  </si>
  <si>
    <t>A10106</t>
    <phoneticPr fontId="1"/>
  </si>
  <si>
    <t>A15112</t>
    <phoneticPr fontId="1"/>
  </si>
  <si>
    <t>A00103</t>
    <phoneticPr fontId="1"/>
  </si>
  <si>
    <t>A01501</t>
    <phoneticPr fontId="1"/>
  </si>
  <si>
    <t>A01401</t>
    <phoneticPr fontId="1"/>
  </si>
  <si>
    <t>C00193</t>
    <phoneticPr fontId="1"/>
  </si>
  <si>
    <t>C00188</t>
    <phoneticPr fontId="1"/>
  </si>
  <si>
    <t>C00187</t>
    <phoneticPr fontId="1"/>
  </si>
  <si>
    <t>C00183</t>
    <phoneticPr fontId="1"/>
  </si>
  <si>
    <t>C00190</t>
    <phoneticPr fontId="1"/>
  </si>
  <si>
    <t>C00191</t>
    <phoneticPr fontId="1"/>
  </si>
  <si>
    <t>A15109</t>
    <phoneticPr fontId="1"/>
  </si>
  <si>
    <t>C00186</t>
    <phoneticPr fontId="1"/>
  </si>
  <si>
    <t>C00185</t>
    <phoneticPr fontId="1"/>
  </si>
  <si>
    <t>C00184</t>
    <phoneticPr fontId="1"/>
  </si>
  <si>
    <t>A12001</t>
    <phoneticPr fontId="1"/>
  </si>
  <si>
    <t>A01302</t>
    <phoneticPr fontId="1"/>
  </si>
  <si>
    <t>A01303</t>
    <phoneticPr fontId="1"/>
  </si>
  <si>
    <t>C20303</t>
    <phoneticPr fontId="1"/>
  </si>
  <si>
    <t>C20306</t>
    <phoneticPr fontId="1"/>
  </si>
  <si>
    <t>C20307</t>
    <phoneticPr fontId="1"/>
  </si>
  <si>
    <t>C20308</t>
    <phoneticPr fontId="1"/>
  </si>
  <si>
    <t>C20309</t>
    <phoneticPr fontId="1"/>
  </si>
  <si>
    <t>C20311</t>
    <phoneticPr fontId="1"/>
  </si>
  <si>
    <t>C20313</t>
    <phoneticPr fontId="1"/>
  </si>
  <si>
    <t>C20314</t>
    <phoneticPr fontId="1"/>
  </si>
  <si>
    <t>C20315</t>
    <phoneticPr fontId="1"/>
  </si>
  <si>
    <t>C20322</t>
    <phoneticPr fontId="1"/>
  </si>
  <si>
    <t>A20616</t>
    <phoneticPr fontId="1"/>
  </si>
  <si>
    <t>A20605</t>
    <phoneticPr fontId="1"/>
  </si>
  <si>
    <t>A20604</t>
    <phoneticPr fontId="1"/>
  </si>
  <si>
    <t>A21101</t>
    <phoneticPr fontId="1"/>
  </si>
  <si>
    <t>A20304</t>
    <phoneticPr fontId="1"/>
  </si>
  <si>
    <t>A20303</t>
    <phoneticPr fontId="1"/>
  </si>
  <si>
    <t>A20302</t>
    <phoneticPr fontId="1"/>
  </si>
  <si>
    <t>A20301</t>
    <phoneticPr fontId="1"/>
  </si>
  <si>
    <t>A20603</t>
    <phoneticPr fontId="1"/>
  </si>
  <si>
    <t>A20602</t>
    <phoneticPr fontId="1"/>
  </si>
  <si>
    <t>A20601</t>
    <phoneticPr fontId="1"/>
  </si>
  <si>
    <t>A20366</t>
    <phoneticPr fontId="1"/>
  </si>
  <si>
    <t>A20367</t>
    <phoneticPr fontId="1"/>
  </si>
  <si>
    <t>A20369</t>
    <phoneticPr fontId="1"/>
  </si>
  <si>
    <t>A20368</t>
    <phoneticPr fontId="1"/>
  </si>
  <si>
    <t>A20371</t>
    <phoneticPr fontId="1"/>
  </si>
  <si>
    <t>A20370</t>
    <phoneticPr fontId="1"/>
  </si>
  <si>
    <t>A20373</t>
    <phoneticPr fontId="1"/>
  </si>
  <si>
    <t>A20372</t>
    <phoneticPr fontId="1"/>
  </si>
  <si>
    <t>A20374</t>
    <phoneticPr fontId="1"/>
  </si>
  <si>
    <t>A20375</t>
    <phoneticPr fontId="1"/>
  </si>
  <si>
    <t>A16117</t>
    <phoneticPr fontId="1"/>
  </si>
  <si>
    <t>A16115</t>
    <phoneticPr fontId="1"/>
  </si>
  <si>
    <t>A16017</t>
    <phoneticPr fontId="1"/>
  </si>
  <si>
    <t>A16013</t>
    <phoneticPr fontId="1"/>
  </si>
  <si>
    <t>A16112</t>
    <phoneticPr fontId="1"/>
  </si>
  <si>
    <t>A16116</t>
    <phoneticPr fontId="1"/>
  </si>
  <si>
    <t>A16113</t>
    <phoneticPr fontId="1"/>
  </si>
  <si>
    <t>A16016</t>
    <phoneticPr fontId="1"/>
  </si>
  <si>
    <t>A16012</t>
    <phoneticPr fontId="1"/>
  </si>
  <si>
    <t>A16015</t>
    <phoneticPr fontId="1"/>
  </si>
  <si>
    <t>A16109</t>
    <phoneticPr fontId="1"/>
  </si>
  <si>
    <t>A16009</t>
    <phoneticPr fontId="1"/>
  </si>
  <si>
    <t>A21602</t>
    <phoneticPr fontId="1"/>
  </si>
  <si>
    <t>A21103</t>
    <phoneticPr fontId="1"/>
  </si>
  <si>
    <t>C00273</t>
    <phoneticPr fontId="1"/>
  </si>
  <si>
    <t>C00271</t>
    <phoneticPr fontId="1"/>
  </si>
  <si>
    <t>C00279</t>
    <phoneticPr fontId="1"/>
  </si>
  <si>
    <t>C00282</t>
    <phoneticPr fontId="1"/>
  </si>
  <si>
    <t>C00283</t>
    <phoneticPr fontId="1"/>
  </si>
  <si>
    <t>C00281</t>
    <phoneticPr fontId="1"/>
  </si>
  <si>
    <t>C00277</t>
    <phoneticPr fontId="1"/>
  </si>
  <si>
    <t>C00272</t>
    <phoneticPr fontId="1"/>
  </si>
  <si>
    <t>C00278</t>
    <phoneticPr fontId="1"/>
  </si>
  <si>
    <t>C00289</t>
    <phoneticPr fontId="1"/>
  </si>
  <si>
    <t>C00288</t>
    <phoneticPr fontId="1"/>
  </si>
  <si>
    <t>C00287</t>
    <phoneticPr fontId="1"/>
  </si>
  <si>
    <t>A21092</t>
    <phoneticPr fontId="1"/>
  </si>
  <si>
    <t>A21088</t>
    <phoneticPr fontId="1"/>
  </si>
  <si>
    <t>A21091</t>
    <phoneticPr fontId="1"/>
  </si>
  <si>
    <t>A21093</t>
    <phoneticPr fontId="1"/>
  </si>
  <si>
    <t>A21615</t>
    <phoneticPr fontId="1"/>
  </si>
  <si>
    <t>A20384</t>
    <phoneticPr fontId="1"/>
  </si>
  <si>
    <t>A17101</t>
    <phoneticPr fontId="1"/>
  </si>
  <si>
    <t>A20241</t>
    <phoneticPr fontId="1"/>
  </si>
  <si>
    <t>C20284</t>
    <phoneticPr fontId="1"/>
  </si>
  <si>
    <t>C20283</t>
    <phoneticPr fontId="1"/>
  </si>
  <si>
    <t>C20282</t>
    <phoneticPr fontId="1"/>
  </si>
  <si>
    <t>A15117</t>
    <phoneticPr fontId="1"/>
  </si>
  <si>
    <t>A15116</t>
    <phoneticPr fontId="1"/>
  </si>
  <si>
    <t>A15115</t>
    <phoneticPr fontId="1"/>
  </si>
  <si>
    <t>A15120</t>
    <phoneticPr fontId="1"/>
  </si>
  <si>
    <t>A15119</t>
    <phoneticPr fontId="1"/>
  </si>
  <si>
    <t>A00210</t>
    <phoneticPr fontId="1"/>
  </si>
  <si>
    <t>A00211</t>
    <phoneticPr fontId="1"/>
  </si>
  <si>
    <t>A00310</t>
    <phoneticPr fontId="1"/>
  </si>
  <si>
    <t>A00311</t>
    <phoneticPr fontId="1"/>
  </si>
  <si>
    <t>A00409</t>
    <phoneticPr fontId="1"/>
  </si>
  <si>
    <t>A00410</t>
    <phoneticPr fontId="1"/>
  </si>
  <si>
    <t>A00411</t>
    <phoneticPr fontId="1"/>
  </si>
  <si>
    <t>A00509</t>
    <phoneticPr fontId="1"/>
  </si>
  <si>
    <t>A00510</t>
    <phoneticPr fontId="1"/>
  </si>
  <si>
    <t>A00511</t>
    <phoneticPr fontId="1"/>
  </si>
  <si>
    <t>A16014</t>
    <phoneticPr fontId="1"/>
  </si>
  <si>
    <t>A16114</t>
    <phoneticPr fontId="1"/>
  </si>
  <si>
    <t>C00225</t>
    <phoneticPr fontId="1"/>
  </si>
  <si>
    <t>C00233</t>
    <phoneticPr fontId="1"/>
  </si>
  <si>
    <t>C00239</t>
    <phoneticPr fontId="1"/>
  </si>
  <si>
    <t>C00226</t>
    <phoneticPr fontId="1"/>
  </si>
  <si>
    <t>C00234</t>
    <phoneticPr fontId="1"/>
  </si>
  <si>
    <t>C00240</t>
    <phoneticPr fontId="1"/>
  </si>
  <si>
    <t>C00241</t>
    <phoneticPr fontId="1"/>
  </si>
  <si>
    <t>C00235</t>
    <phoneticPr fontId="1"/>
  </si>
  <si>
    <t>C00227</t>
    <phoneticPr fontId="1"/>
  </si>
  <si>
    <t>C00228</t>
    <phoneticPr fontId="1"/>
  </si>
  <si>
    <t>C00236</t>
    <phoneticPr fontId="1"/>
  </si>
  <si>
    <t>C00242</t>
    <phoneticPr fontId="1"/>
  </si>
  <si>
    <t>C00243</t>
    <phoneticPr fontId="1"/>
  </si>
  <si>
    <t>C00237</t>
    <phoneticPr fontId="1"/>
  </si>
  <si>
    <t>C00229</t>
    <phoneticPr fontId="1"/>
  </si>
  <si>
    <t>C00230</t>
    <phoneticPr fontId="1"/>
  </si>
  <si>
    <t>C00231</t>
    <phoneticPr fontId="1"/>
  </si>
  <si>
    <t>C00232</t>
    <phoneticPr fontId="1"/>
  </si>
  <si>
    <t>C00238</t>
    <phoneticPr fontId="1"/>
  </si>
  <si>
    <t>C00244</t>
    <phoneticPr fontId="1"/>
  </si>
  <si>
    <t>C00245</t>
    <phoneticPr fontId="1"/>
  </si>
  <si>
    <t>C00248</t>
    <phoneticPr fontId="1"/>
  </si>
  <si>
    <t>C00247</t>
    <phoneticPr fontId="1"/>
  </si>
  <si>
    <t>C00246</t>
    <phoneticPr fontId="1"/>
  </si>
  <si>
    <t>C00252</t>
    <phoneticPr fontId="1"/>
  </si>
  <si>
    <t>C00249</t>
    <phoneticPr fontId="1"/>
  </si>
  <si>
    <t>C00250</t>
    <phoneticPr fontId="1"/>
  </si>
  <si>
    <t>C00251</t>
    <phoneticPr fontId="1"/>
  </si>
  <si>
    <t>C19188</t>
    <phoneticPr fontId="1"/>
  </si>
  <si>
    <t>C19189</t>
    <phoneticPr fontId="1"/>
  </si>
  <si>
    <t>C19190</t>
    <phoneticPr fontId="1"/>
  </si>
  <si>
    <t>C19191</t>
    <phoneticPr fontId="1"/>
  </si>
  <si>
    <t>C19192</t>
    <phoneticPr fontId="1"/>
  </si>
  <si>
    <t>C19193</t>
  </si>
  <si>
    <t>C19194</t>
  </si>
  <si>
    <t>C19195</t>
  </si>
  <si>
    <t>C19196</t>
  </si>
  <si>
    <t>C19197</t>
  </si>
  <si>
    <t>C</t>
    <phoneticPr fontId="1"/>
  </si>
  <si>
    <t>C20292</t>
    <phoneticPr fontId="1"/>
  </si>
  <si>
    <t>04</t>
    <phoneticPr fontId="1"/>
  </si>
  <si>
    <t>C20296</t>
    <phoneticPr fontId="1"/>
  </si>
  <si>
    <t>1Fノベルティ</t>
    <phoneticPr fontId="1"/>
  </si>
  <si>
    <t>03</t>
    <phoneticPr fontId="1"/>
  </si>
  <si>
    <t>P-1</t>
    <phoneticPr fontId="1"/>
  </si>
  <si>
    <t>E30047</t>
    <phoneticPr fontId="1"/>
  </si>
  <si>
    <t>E30029</t>
    <phoneticPr fontId="1"/>
  </si>
  <si>
    <t>E30028</t>
    <phoneticPr fontId="1"/>
  </si>
  <si>
    <t>E30024</t>
    <phoneticPr fontId="1"/>
  </si>
  <si>
    <t>E30023</t>
    <phoneticPr fontId="1"/>
  </si>
  <si>
    <t>E30022</t>
    <phoneticPr fontId="1"/>
  </si>
  <si>
    <t>E30021</t>
    <phoneticPr fontId="1"/>
  </si>
  <si>
    <t>E30020</t>
    <phoneticPr fontId="1"/>
  </si>
  <si>
    <t>E30019</t>
    <phoneticPr fontId="1"/>
  </si>
  <si>
    <t>E30016</t>
    <phoneticPr fontId="1"/>
  </si>
  <si>
    <t>E30015</t>
    <phoneticPr fontId="1"/>
  </si>
  <si>
    <t>E30012</t>
    <phoneticPr fontId="1"/>
  </si>
  <si>
    <t>E30011</t>
    <phoneticPr fontId="1"/>
  </si>
  <si>
    <t>N-1</t>
    <phoneticPr fontId="1"/>
  </si>
  <si>
    <t>E07121</t>
    <phoneticPr fontId="1"/>
  </si>
  <si>
    <t>E07122</t>
  </si>
  <si>
    <t>E07123</t>
  </si>
  <si>
    <t>E07107</t>
    <phoneticPr fontId="1"/>
  </si>
  <si>
    <t>E07125</t>
    <phoneticPr fontId="1"/>
  </si>
  <si>
    <t>E07126</t>
  </si>
  <si>
    <t>E07127</t>
  </si>
  <si>
    <t>E07128</t>
  </si>
  <si>
    <t>M-1</t>
    <phoneticPr fontId="1"/>
  </si>
  <si>
    <t>E00411</t>
    <phoneticPr fontId="1"/>
  </si>
  <si>
    <t>E00412</t>
  </si>
  <si>
    <t>E00413</t>
  </si>
  <si>
    <t>E00414</t>
  </si>
  <si>
    <t>E00415</t>
  </si>
  <si>
    <t>E00416</t>
  </si>
  <si>
    <t>E00417</t>
  </si>
  <si>
    <t>E00418</t>
  </si>
  <si>
    <t>E05106</t>
    <phoneticPr fontId="1"/>
  </si>
  <si>
    <t>E05107</t>
    <phoneticPr fontId="1"/>
  </si>
  <si>
    <t>E05306</t>
    <phoneticPr fontId="1"/>
  </si>
  <si>
    <t>E05307</t>
  </si>
  <si>
    <t>E05511</t>
    <phoneticPr fontId="1"/>
  </si>
  <si>
    <t>L-1</t>
    <phoneticPr fontId="1"/>
  </si>
  <si>
    <t>E20210</t>
    <phoneticPr fontId="1"/>
  </si>
  <si>
    <t>E20211</t>
  </si>
  <si>
    <t>E20212</t>
  </si>
  <si>
    <t>E20213</t>
  </si>
  <si>
    <t>E20214</t>
  </si>
  <si>
    <t>E20215</t>
  </si>
  <si>
    <t>E20216</t>
  </si>
  <si>
    <t>E20217</t>
  </si>
  <si>
    <t>E20218</t>
  </si>
  <si>
    <t>J-1</t>
    <phoneticPr fontId="1"/>
  </si>
  <si>
    <t>E20208</t>
    <phoneticPr fontId="1"/>
  </si>
  <si>
    <t>E20209</t>
    <phoneticPr fontId="1"/>
  </si>
  <si>
    <t>E20221</t>
    <phoneticPr fontId="1"/>
  </si>
  <si>
    <t>H-1</t>
    <phoneticPr fontId="1"/>
  </si>
  <si>
    <t>E00549</t>
    <phoneticPr fontId="1"/>
  </si>
  <si>
    <t>E00550</t>
    <phoneticPr fontId="1"/>
  </si>
  <si>
    <t>E20111</t>
    <phoneticPr fontId="1"/>
  </si>
  <si>
    <t>E20112</t>
  </si>
  <si>
    <t>E20113</t>
  </si>
  <si>
    <t>E20114</t>
  </si>
  <si>
    <t>E20115</t>
  </si>
  <si>
    <t>E20116</t>
  </si>
  <si>
    <t>G-1</t>
    <phoneticPr fontId="1"/>
  </si>
  <si>
    <t>E00541</t>
    <phoneticPr fontId="1"/>
  </si>
  <si>
    <t>E00542</t>
  </si>
  <si>
    <t>E00543</t>
  </si>
  <si>
    <t>E00544</t>
  </si>
  <si>
    <t>E00545</t>
  </si>
  <si>
    <t>E00546</t>
  </si>
  <si>
    <t>E00547</t>
  </si>
  <si>
    <t>E00548</t>
  </si>
  <si>
    <t>F-1</t>
    <phoneticPr fontId="1"/>
  </si>
  <si>
    <t>E00540</t>
    <phoneticPr fontId="1"/>
  </si>
  <si>
    <t>E00501</t>
    <phoneticPr fontId="1"/>
  </si>
  <si>
    <t>E00502</t>
  </si>
  <si>
    <t>E00503</t>
  </si>
  <si>
    <t>E00504</t>
  </si>
  <si>
    <t>E00505</t>
  </si>
  <si>
    <t>E00506</t>
  </si>
  <si>
    <t>E00507</t>
  </si>
  <si>
    <t>E00508</t>
  </si>
  <si>
    <t>E-1</t>
    <phoneticPr fontId="1"/>
  </si>
  <si>
    <t>E00561</t>
    <phoneticPr fontId="1"/>
  </si>
  <si>
    <t>E00562</t>
  </si>
  <si>
    <t>E00563</t>
  </si>
  <si>
    <t>E00565</t>
    <phoneticPr fontId="1"/>
  </si>
  <si>
    <t>E00566</t>
  </si>
  <si>
    <t>E00567</t>
  </si>
  <si>
    <t>E00568</t>
  </si>
  <si>
    <t>E00569</t>
  </si>
  <si>
    <t>E00570</t>
    <phoneticPr fontId="1"/>
  </si>
  <si>
    <t>D-1</t>
    <phoneticPr fontId="1"/>
  </si>
  <si>
    <t>G06040</t>
    <phoneticPr fontId="1"/>
  </si>
  <si>
    <t>G06041</t>
    <phoneticPr fontId="1"/>
  </si>
  <si>
    <t>G26618</t>
    <phoneticPr fontId="1"/>
  </si>
  <si>
    <t>G26900</t>
    <phoneticPr fontId="1"/>
  </si>
  <si>
    <t>G26901</t>
    <phoneticPr fontId="1"/>
  </si>
  <si>
    <t>C-1</t>
    <phoneticPr fontId="1"/>
  </si>
  <si>
    <t>G27546</t>
    <phoneticPr fontId="1"/>
  </si>
  <si>
    <t>G27547</t>
    <phoneticPr fontId="1"/>
  </si>
  <si>
    <t>G26897</t>
    <phoneticPr fontId="1"/>
  </si>
  <si>
    <t>G28900</t>
    <phoneticPr fontId="1"/>
  </si>
  <si>
    <t>G28903</t>
    <phoneticPr fontId="1"/>
  </si>
  <si>
    <t>大閃光ブレードディスプレイスタンド(LUMICA)</t>
    <phoneticPr fontId="1"/>
  </si>
  <si>
    <t>E80505</t>
    <phoneticPr fontId="1"/>
  </si>
  <si>
    <t>E80515</t>
    <phoneticPr fontId="1"/>
  </si>
  <si>
    <t>A-1</t>
    <phoneticPr fontId="1"/>
  </si>
  <si>
    <t>10</t>
    <phoneticPr fontId="1"/>
  </si>
  <si>
    <t>資材倉庫・Irod</t>
    <rPh sb="0" eb="4">
      <t>シザイソウコ</t>
    </rPh>
    <phoneticPr fontId="1"/>
  </si>
  <si>
    <t>11</t>
  </si>
  <si>
    <t>資材倉庫・ノベルティ</t>
    <rPh sb="0" eb="4">
      <t>シザイソウコ</t>
    </rPh>
    <phoneticPr fontId="1"/>
  </si>
  <si>
    <t>10</t>
    <phoneticPr fontId="1"/>
  </si>
  <si>
    <t>E20117</t>
    <phoneticPr fontId="1"/>
  </si>
  <si>
    <t>E00564</t>
    <phoneticPr fontId="1"/>
  </si>
  <si>
    <t>E00572</t>
    <phoneticPr fontId="1"/>
  </si>
  <si>
    <t>E29968</t>
    <phoneticPr fontId="1"/>
  </si>
  <si>
    <t>E29966</t>
    <phoneticPr fontId="1"/>
  </si>
  <si>
    <t>E30054</t>
    <phoneticPr fontId="1"/>
  </si>
  <si>
    <t>E30048</t>
    <phoneticPr fontId="1"/>
  </si>
  <si>
    <t>E30026</t>
    <phoneticPr fontId="1"/>
  </si>
  <si>
    <t>G28259</t>
    <phoneticPr fontId="1"/>
  </si>
  <si>
    <t>G28261</t>
    <phoneticPr fontId="1"/>
  </si>
  <si>
    <t>E29975</t>
    <phoneticPr fontId="1"/>
  </si>
  <si>
    <t>E30027</t>
    <phoneticPr fontId="1"/>
  </si>
  <si>
    <t>E30046</t>
    <phoneticPr fontId="1"/>
  </si>
  <si>
    <t>E30049</t>
    <phoneticPr fontId="1"/>
  </si>
  <si>
    <t>E30050</t>
    <phoneticPr fontId="1"/>
  </si>
  <si>
    <t>G28260</t>
    <phoneticPr fontId="1"/>
  </si>
  <si>
    <t>E29800</t>
    <phoneticPr fontId="1"/>
  </si>
  <si>
    <t>E00509</t>
    <phoneticPr fontId="1"/>
  </si>
  <si>
    <t>E00510</t>
    <phoneticPr fontId="1"/>
  </si>
  <si>
    <t>E29904</t>
    <phoneticPr fontId="1"/>
  </si>
  <si>
    <t>E29906</t>
    <phoneticPr fontId="1"/>
  </si>
  <si>
    <t>E29982</t>
    <phoneticPr fontId="1"/>
  </si>
  <si>
    <t>G27328</t>
    <phoneticPr fontId="1"/>
  </si>
  <si>
    <t>G27647</t>
    <phoneticPr fontId="1"/>
  </si>
  <si>
    <t>G28571</t>
    <phoneticPr fontId="1"/>
  </si>
  <si>
    <t>O-1</t>
    <phoneticPr fontId="1"/>
  </si>
  <si>
    <t>E00301</t>
    <phoneticPr fontId="1"/>
  </si>
  <si>
    <t>E00302</t>
  </si>
  <si>
    <t>E00303</t>
  </si>
  <si>
    <t>E00304</t>
  </si>
  <si>
    <t>E00305</t>
  </si>
  <si>
    <t>E00306</t>
  </si>
  <si>
    <t>E00307</t>
  </si>
  <si>
    <t>E00308</t>
  </si>
  <si>
    <t>E00309</t>
  </si>
  <si>
    <t>P-1</t>
    <phoneticPr fontId="1"/>
  </si>
  <si>
    <t>G28120</t>
    <phoneticPr fontId="1"/>
  </si>
  <si>
    <t>G28121</t>
    <phoneticPr fontId="1"/>
  </si>
  <si>
    <t>E25190</t>
    <phoneticPr fontId="1"/>
  </si>
  <si>
    <t>E27303</t>
    <phoneticPr fontId="1"/>
  </si>
  <si>
    <t>E27305</t>
    <phoneticPr fontId="1"/>
  </si>
  <si>
    <t>G21001</t>
    <phoneticPr fontId="1"/>
  </si>
  <si>
    <t>G21002</t>
  </si>
  <si>
    <t>G21003</t>
  </si>
  <si>
    <t>G21004</t>
  </si>
  <si>
    <t>G26568</t>
    <phoneticPr fontId="1"/>
  </si>
  <si>
    <t>G28157</t>
    <phoneticPr fontId="1"/>
  </si>
  <si>
    <t>G28490</t>
    <phoneticPr fontId="1"/>
  </si>
  <si>
    <t>G28491</t>
    <phoneticPr fontId="1"/>
  </si>
  <si>
    <t>G28492</t>
    <phoneticPr fontId="1"/>
  </si>
  <si>
    <t>G28502</t>
    <phoneticPr fontId="1"/>
  </si>
  <si>
    <t>Q-1</t>
    <phoneticPr fontId="1"/>
  </si>
  <si>
    <t>E29911</t>
    <phoneticPr fontId="1"/>
  </si>
  <si>
    <t>E29912</t>
    <phoneticPr fontId="1"/>
  </si>
  <si>
    <t>E29913</t>
    <phoneticPr fontId="1"/>
  </si>
  <si>
    <t>E80518</t>
    <phoneticPr fontId="1"/>
  </si>
  <si>
    <t>E80619</t>
    <phoneticPr fontId="1"/>
  </si>
  <si>
    <t>F00114</t>
    <phoneticPr fontId="1"/>
  </si>
  <si>
    <t>R-1</t>
    <phoneticPr fontId="1"/>
  </si>
  <si>
    <t>G20982</t>
    <phoneticPr fontId="1"/>
  </si>
  <si>
    <t>G20983</t>
  </si>
  <si>
    <t>G20984</t>
  </si>
  <si>
    <t>G27493</t>
    <phoneticPr fontId="1"/>
  </si>
  <si>
    <t>G27494</t>
  </si>
  <si>
    <t>G27495</t>
  </si>
  <si>
    <t>G27496</t>
  </si>
  <si>
    <t>G28818</t>
    <phoneticPr fontId="1"/>
  </si>
  <si>
    <t>G29857</t>
    <phoneticPr fontId="1"/>
  </si>
  <si>
    <t>11</t>
    <phoneticPr fontId="1"/>
  </si>
  <si>
    <t>E-1</t>
    <phoneticPr fontId="1"/>
  </si>
  <si>
    <t>G80306</t>
    <phoneticPr fontId="1"/>
  </si>
  <si>
    <t>G80307</t>
    <phoneticPr fontId="1"/>
  </si>
  <si>
    <t>G80310</t>
    <phoneticPr fontId="1"/>
  </si>
  <si>
    <t>G80401</t>
    <phoneticPr fontId="1"/>
  </si>
  <si>
    <t>G80311</t>
    <phoneticPr fontId="1"/>
  </si>
  <si>
    <t>B-1</t>
    <phoneticPr fontId="1"/>
  </si>
  <si>
    <t>G80300</t>
    <phoneticPr fontId="1"/>
  </si>
  <si>
    <t>G80303</t>
    <phoneticPr fontId="1"/>
  </si>
  <si>
    <t>G80308</t>
    <phoneticPr fontId="1"/>
  </si>
  <si>
    <t>C-1</t>
    <phoneticPr fontId="1"/>
  </si>
  <si>
    <t>G80301</t>
    <phoneticPr fontId="1"/>
  </si>
  <si>
    <t>G80302</t>
    <phoneticPr fontId="1"/>
  </si>
  <si>
    <t>G80304</t>
    <phoneticPr fontId="1"/>
  </si>
  <si>
    <t>G80305</t>
    <phoneticPr fontId="1"/>
  </si>
  <si>
    <t>D-1</t>
    <phoneticPr fontId="1"/>
  </si>
  <si>
    <t>G80032</t>
    <phoneticPr fontId="1"/>
  </si>
  <si>
    <t>G80217</t>
    <phoneticPr fontId="1"/>
  </si>
  <si>
    <t>G80218</t>
    <phoneticPr fontId="1"/>
  </si>
  <si>
    <t>G80035</t>
    <phoneticPr fontId="1"/>
  </si>
  <si>
    <t>G80226</t>
    <phoneticPr fontId="1"/>
  </si>
  <si>
    <t>G80309</t>
    <phoneticPr fontId="1"/>
  </si>
  <si>
    <t>A01701</t>
    <phoneticPr fontId="1"/>
  </si>
  <si>
    <t>J</t>
    <phoneticPr fontId="1"/>
  </si>
  <si>
    <t>04</t>
    <phoneticPr fontId="1"/>
  </si>
  <si>
    <t>11</t>
    <phoneticPr fontId="1"/>
  </si>
  <si>
    <t>F-1</t>
    <phoneticPr fontId="1"/>
  </si>
  <si>
    <t>G80014</t>
    <phoneticPr fontId="1"/>
  </si>
  <si>
    <t>G80017</t>
    <phoneticPr fontId="1"/>
  </si>
  <si>
    <t>G80023</t>
    <phoneticPr fontId="1"/>
  </si>
  <si>
    <t>G80058</t>
    <phoneticPr fontId="1"/>
  </si>
  <si>
    <t>G80059</t>
    <phoneticPr fontId="1"/>
  </si>
  <si>
    <t>G80069</t>
    <phoneticPr fontId="1"/>
  </si>
  <si>
    <t>G80071</t>
    <phoneticPr fontId="1"/>
  </si>
  <si>
    <t>G80072</t>
    <phoneticPr fontId="1"/>
  </si>
  <si>
    <t>G80079</t>
    <phoneticPr fontId="1"/>
  </si>
  <si>
    <t>G80080</t>
    <phoneticPr fontId="1"/>
  </si>
  <si>
    <t>G80247</t>
    <phoneticPr fontId="1"/>
  </si>
  <si>
    <t>G80259</t>
    <phoneticPr fontId="1"/>
  </si>
  <si>
    <t>G80258</t>
    <phoneticPr fontId="1"/>
  </si>
  <si>
    <t>G80257</t>
    <phoneticPr fontId="1"/>
  </si>
  <si>
    <t>G80256</t>
    <phoneticPr fontId="1"/>
  </si>
  <si>
    <t>V07672</t>
    <phoneticPr fontId="1"/>
  </si>
  <si>
    <t>V07673</t>
    <phoneticPr fontId="1"/>
  </si>
  <si>
    <t>G80400</t>
    <phoneticPr fontId="1"/>
  </si>
  <si>
    <t>G80297</t>
    <phoneticPr fontId="1"/>
  </si>
  <si>
    <t>G80219</t>
    <phoneticPr fontId="1"/>
  </si>
  <si>
    <t>G80289</t>
    <phoneticPr fontId="1"/>
  </si>
  <si>
    <t>V07033</t>
    <phoneticPr fontId="1"/>
  </si>
  <si>
    <t>V06997</t>
    <phoneticPr fontId="1"/>
  </si>
  <si>
    <t>V06996</t>
    <phoneticPr fontId="1"/>
  </si>
  <si>
    <t>G80082</t>
    <phoneticPr fontId="1"/>
  </si>
  <si>
    <t>G-1</t>
    <phoneticPr fontId="1"/>
  </si>
  <si>
    <t>G80233</t>
    <phoneticPr fontId="1"/>
  </si>
  <si>
    <t>G80252</t>
    <phoneticPr fontId="1"/>
  </si>
  <si>
    <t>G80253</t>
    <phoneticPr fontId="1"/>
  </si>
  <si>
    <t>G80248</t>
    <phoneticPr fontId="1"/>
  </si>
  <si>
    <t>G80227</t>
    <phoneticPr fontId="1"/>
  </si>
  <si>
    <t>G80228</t>
    <phoneticPr fontId="1"/>
  </si>
  <si>
    <t>A-1</t>
    <phoneticPr fontId="1"/>
  </si>
  <si>
    <t>V06937</t>
    <phoneticPr fontId="1"/>
  </si>
  <si>
    <t>E80516</t>
    <phoneticPr fontId="1"/>
  </si>
  <si>
    <t>I-1</t>
    <phoneticPr fontId="1"/>
  </si>
  <si>
    <t>G80084</t>
    <phoneticPr fontId="1"/>
  </si>
  <si>
    <t>G80068</t>
    <phoneticPr fontId="1"/>
  </si>
  <si>
    <t>G80030</t>
    <phoneticPr fontId="1"/>
  </si>
  <si>
    <t>G80085</t>
    <phoneticPr fontId="1"/>
  </si>
  <si>
    <t>G80234</t>
    <phoneticPr fontId="1"/>
  </si>
  <si>
    <t>G80251</t>
    <phoneticPr fontId="1"/>
  </si>
  <si>
    <t>V10211</t>
    <phoneticPr fontId="1"/>
  </si>
  <si>
    <t>G80041</t>
    <phoneticPr fontId="1"/>
  </si>
  <si>
    <t>G80042</t>
    <phoneticPr fontId="1"/>
  </si>
  <si>
    <t>G80029</t>
    <phoneticPr fontId="1"/>
  </si>
  <si>
    <t>G80235</t>
    <phoneticPr fontId="1"/>
  </si>
  <si>
    <t>H-1</t>
    <phoneticPr fontId="1"/>
  </si>
  <si>
    <t>V07026</t>
    <phoneticPr fontId="1"/>
  </si>
  <si>
    <t>G80229</t>
    <phoneticPr fontId="1"/>
  </si>
  <si>
    <t>G80016</t>
    <phoneticPr fontId="1"/>
  </si>
  <si>
    <t>G80028</t>
    <phoneticPr fontId="1"/>
  </si>
  <si>
    <t>G80230</t>
    <phoneticPr fontId="1"/>
  </si>
  <si>
    <t>G80024</t>
    <phoneticPr fontId="1"/>
  </si>
  <si>
    <t>G80231</t>
    <phoneticPr fontId="1"/>
  </si>
  <si>
    <t>G80057</t>
    <phoneticPr fontId="1"/>
  </si>
  <si>
    <t>J-1</t>
    <phoneticPr fontId="1"/>
  </si>
  <si>
    <t>G80236</t>
    <phoneticPr fontId="1"/>
  </si>
  <si>
    <t>G80288</t>
    <phoneticPr fontId="1"/>
  </si>
  <si>
    <t>G80296</t>
    <phoneticPr fontId="1"/>
  </si>
  <si>
    <t>E29972</t>
    <phoneticPr fontId="1"/>
  </si>
  <si>
    <t>E85102</t>
    <phoneticPr fontId="1"/>
  </si>
  <si>
    <t>G28396</t>
    <phoneticPr fontId="1"/>
  </si>
  <si>
    <t>V07178</t>
    <phoneticPr fontId="1"/>
  </si>
  <si>
    <t>E30053</t>
    <phoneticPr fontId="1"/>
  </si>
  <si>
    <t>E00408</t>
    <phoneticPr fontId="1"/>
  </si>
  <si>
    <t>E00409</t>
    <phoneticPr fontId="1"/>
  </si>
  <si>
    <t>E22101</t>
    <phoneticPr fontId="1"/>
  </si>
  <si>
    <t>E22102</t>
  </si>
  <si>
    <t>E22103</t>
  </si>
  <si>
    <t>E22104</t>
  </si>
  <si>
    <t>E22105</t>
  </si>
  <si>
    <t>E22108</t>
    <phoneticPr fontId="1"/>
  </si>
  <si>
    <t>E22190</t>
    <phoneticPr fontId="1"/>
  </si>
  <si>
    <t>E00401</t>
    <phoneticPr fontId="1"/>
  </si>
  <si>
    <t>E00402</t>
  </si>
  <si>
    <t>E00403</t>
  </si>
  <si>
    <t>E00404</t>
  </si>
  <si>
    <t>E00405</t>
  </si>
  <si>
    <t>E00406</t>
  </si>
  <si>
    <t>E00407</t>
  </si>
  <si>
    <t>E00341</t>
    <phoneticPr fontId="1"/>
  </si>
  <si>
    <t>E00342</t>
  </si>
  <si>
    <t>E00343</t>
  </si>
  <si>
    <t>E00344</t>
  </si>
  <si>
    <t>E00345</t>
  </si>
  <si>
    <t>E00346</t>
  </si>
  <si>
    <t>E00347</t>
  </si>
  <si>
    <t>E00348</t>
  </si>
  <si>
    <t>E00349</t>
  </si>
  <si>
    <t>E00350</t>
  </si>
  <si>
    <t>E20118</t>
    <phoneticPr fontId="1"/>
  </si>
  <si>
    <t>E20119</t>
  </si>
  <si>
    <t>E20120</t>
  </si>
  <si>
    <t>E20121</t>
    <phoneticPr fontId="1"/>
  </si>
  <si>
    <t>G28400</t>
    <phoneticPr fontId="1"/>
  </si>
  <si>
    <t>G28490</t>
    <phoneticPr fontId="1"/>
  </si>
  <si>
    <t>G28491</t>
    <phoneticPr fontId="1"/>
  </si>
  <si>
    <t>G28492</t>
    <phoneticPr fontId="1"/>
  </si>
  <si>
    <t>E22109</t>
    <phoneticPr fontId="1"/>
  </si>
  <si>
    <t>10</t>
    <phoneticPr fontId="1"/>
  </si>
  <si>
    <t>【補助列】</t>
    <rPh sb="1" eb="4">
      <t>ホジョレツ</t>
    </rPh>
    <phoneticPr fontId="1"/>
  </si>
  <si>
    <t>【補助列】</t>
    <rPh sb="1" eb="3">
      <t>ホジョ</t>
    </rPh>
    <rPh sb="3" eb="4">
      <t>レツ</t>
    </rPh>
    <phoneticPr fontId="1"/>
  </si>
  <si>
    <t>E29965</t>
    <phoneticPr fontId="1"/>
  </si>
  <si>
    <t>E75303</t>
    <phoneticPr fontId="1"/>
  </si>
  <si>
    <t>E75302</t>
    <phoneticPr fontId="1"/>
  </si>
  <si>
    <t>N-1</t>
    <phoneticPr fontId="1"/>
  </si>
  <si>
    <t>03</t>
    <phoneticPr fontId="1"/>
  </si>
  <si>
    <t>G27701</t>
    <phoneticPr fontId="1"/>
  </si>
  <si>
    <t>G27702</t>
    <phoneticPr fontId="1"/>
  </si>
  <si>
    <t>G27703</t>
    <phoneticPr fontId="1"/>
  </si>
  <si>
    <t>G27704</t>
    <phoneticPr fontId="1"/>
  </si>
  <si>
    <t>G27705</t>
    <phoneticPr fontId="1"/>
  </si>
  <si>
    <t>P-1</t>
    <phoneticPr fontId="1"/>
  </si>
  <si>
    <t>10</t>
    <phoneticPr fontId="1"/>
  </si>
  <si>
    <t>G27601</t>
    <phoneticPr fontId="1"/>
  </si>
  <si>
    <t>O-1</t>
    <phoneticPr fontId="1"/>
  </si>
  <si>
    <t>E29905</t>
    <phoneticPr fontId="1"/>
  </si>
  <si>
    <t>E80551</t>
    <phoneticPr fontId="1"/>
  </si>
  <si>
    <t>C-1</t>
    <phoneticPr fontId="1"/>
  </si>
  <si>
    <t>03</t>
    <phoneticPr fontId="1"/>
  </si>
  <si>
    <t>E80150</t>
    <phoneticPr fontId="1"/>
  </si>
  <si>
    <t>J-1</t>
    <phoneticPr fontId="1"/>
  </si>
  <si>
    <t>E30045</t>
    <phoneticPr fontId="1"/>
  </si>
  <si>
    <t>M-1</t>
    <phoneticPr fontId="1"/>
  </si>
  <si>
    <t>10</t>
    <phoneticPr fontId="1"/>
  </si>
  <si>
    <t>E00481</t>
    <phoneticPr fontId="1"/>
  </si>
  <si>
    <t>E00482</t>
    <phoneticPr fontId="1"/>
  </si>
  <si>
    <t>E00483</t>
    <phoneticPr fontId="1"/>
  </si>
  <si>
    <t>E00485</t>
    <phoneticPr fontId="1"/>
  </si>
  <si>
    <t>E00487</t>
    <phoneticPr fontId="1"/>
  </si>
  <si>
    <t>E00484</t>
    <phoneticPr fontId="1"/>
  </si>
  <si>
    <t>E00488</t>
    <phoneticPr fontId="1"/>
  </si>
  <si>
    <t>E00489</t>
    <phoneticPr fontId="1"/>
  </si>
  <si>
    <t>E00492</t>
    <phoneticPr fontId="1"/>
  </si>
  <si>
    <t>E00490</t>
    <phoneticPr fontId="1"/>
  </si>
  <si>
    <t>E00486</t>
    <phoneticPr fontId="1"/>
  </si>
  <si>
    <t>G21016</t>
    <phoneticPr fontId="1"/>
  </si>
  <si>
    <t>G28158</t>
    <phoneticPr fontId="1"/>
  </si>
  <si>
    <t>G21011</t>
    <phoneticPr fontId="1"/>
  </si>
  <si>
    <t>G26200</t>
    <phoneticPr fontId="1"/>
  </si>
  <si>
    <t>G28816</t>
    <phoneticPr fontId="1"/>
  </si>
  <si>
    <t>G28317</t>
    <phoneticPr fontId="1"/>
  </si>
  <si>
    <t>G27329</t>
    <phoneticPr fontId="1"/>
  </si>
  <si>
    <t>G28566</t>
    <phoneticPr fontId="1"/>
  </si>
  <si>
    <t>E05601</t>
    <phoneticPr fontId="1"/>
  </si>
  <si>
    <t>テント倉庫</t>
    <rPh sb="3" eb="5">
      <t>ソウコ</t>
    </rPh>
    <phoneticPr fontId="1"/>
  </si>
  <si>
    <t>01</t>
    <phoneticPr fontId="1"/>
  </si>
  <si>
    <t>C20330</t>
    <phoneticPr fontId="1"/>
  </si>
  <si>
    <t>C20331</t>
  </si>
  <si>
    <t>C20332</t>
  </si>
  <si>
    <t>C20333</t>
  </si>
  <si>
    <t>C20334</t>
  </si>
  <si>
    <t>C20335</t>
  </si>
  <si>
    <t>04</t>
    <phoneticPr fontId="1"/>
  </si>
  <si>
    <t>C-1</t>
    <phoneticPr fontId="1"/>
  </si>
  <si>
    <t>G28041</t>
    <phoneticPr fontId="1"/>
  </si>
  <si>
    <t>G28043</t>
    <phoneticPr fontId="1"/>
  </si>
  <si>
    <t>G28042</t>
    <phoneticPr fontId="1"/>
  </si>
  <si>
    <t>G28050</t>
    <phoneticPr fontId="1"/>
  </si>
  <si>
    <t>G28048</t>
    <phoneticPr fontId="1"/>
  </si>
  <si>
    <t>E80553</t>
    <phoneticPr fontId="1"/>
  </si>
  <si>
    <t>G28657</t>
    <phoneticPr fontId="1"/>
  </si>
  <si>
    <t>G28645</t>
    <phoneticPr fontId="1"/>
  </si>
  <si>
    <t>E80552</t>
    <phoneticPr fontId="1"/>
  </si>
  <si>
    <t>E80634</t>
    <phoneticPr fontId="1"/>
  </si>
  <si>
    <t>G06187</t>
    <phoneticPr fontId="1"/>
  </si>
  <si>
    <t>G06161</t>
    <phoneticPr fontId="1"/>
  </si>
  <si>
    <t>A23816</t>
    <phoneticPr fontId="1"/>
  </si>
  <si>
    <t>K</t>
    <phoneticPr fontId="1"/>
  </si>
  <si>
    <t>03</t>
    <phoneticPr fontId="1"/>
  </si>
  <si>
    <t>04</t>
    <phoneticPr fontId="1"/>
  </si>
  <si>
    <t>A23819</t>
    <phoneticPr fontId="1"/>
  </si>
  <si>
    <t>A23820</t>
    <phoneticPr fontId="1"/>
  </si>
  <si>
    <t>X99</t>
    <phoneticPr fontId="1"/>
  </si>
  <si>
    <t>資材倉庫・2F</t>
    <phoneticPr fontId="1"/>
  </si>
  <si>
    <t>E85371</t>
    <phoneticPr fontId="1"/>
  </si>
  <si>
    <t>E86074</t>
    <phoneticPr fontId="1"/>
  </si>
  <si>
    <t>E86075</t>
    <phoneticPr fontId="1"/>
  </si>
  <si>
    <t>G06012</t>
    <phoneticPr fontId="1"/>
  </si>
  <si>
    <t>G06013</t>
    <phoneticPr fontId="1"/>
  </si>
  <si>
    <t>G06014</t>
    <phoneticPr fontId="1"/>
  </si>
  <si>
    <t>G06018</t>
    <phoneticPr fontId="1"/>
  </si>
  <si>
    <t>G06019</t>
    <phoneticPr fontId="1"/>
  </si>
  <si>
    <t>G06033</t>
    <phoneticPr fontId="1"/>
  </si>
  <si>
    <t>G06034</t>
    <phoneticPr fontId="1"/>
  </si>
  <si>
    <t>G06049</t>
    <phoneticPr fontId="1"/>
  </si>
  <si>
    <t>G06050</t>
    <phoneticPr fontId="1"/>
  </si>
  <si>
    <t>G06051</t>
    <phoneticPr fontId="1"/>
  </si>
  <si>
    <t>G15107</t>
    <phoneticPr fontId="1"/>
  </si>
  <si>
    <t>G15108</t>
    <phoneticPr fontId="1"/>
  </si>
  <si>
    <t>G15147</t>
    <phoneticPr fontId="1"/>
  </si>
  <si>
    <t>G15204</t>
    <phoneticPr fontId="1"/>
  </si>
  <si>
    <t>G15243</t>
    <phoneticPr fontId="1"/>
  </si>
  <si>
    <t>G15244</t>
    <phoneticPr fontId="1"/>
  </si>
  <si>
    <t>G15255</t>
    <phoneticPr fontId="1"/>
  </si>
  <si>
    <t>G15257</t>
    <phoneticPr fontId="1"/>
  </si>
  <si>
    <t>G26558</t>
    <phoneticPr fontId="1"/>
  </si>
  <si>
    <t>G26559</t>
    <phoneticPr fontId="1"/>
  </si>
  <si>
    <t>G26560</t>
    <phoneticPr fontId="1"/>
  </si>
  <si>
    <t>G29119</t>
    <phoneticPr fontId="1"/>
  </si>
  <si>
    <t>G29480</t>
    <phoneticPr fontId="1"/>
  </si>
  <si>
    <t>G29481</t>
    <phoneticPr fontId="1"/>
  </si>
  <si>
    <t>G29482</t>
    <phoneticPr fontId="1"/>
  </si>
  <si>
    <t>G29483</t>
    <phoneticPr fontId="1"/>
  </si>
  <si>
    <t>G29484</t>
    <phoneticPr fontId="1"/>
  </si>
  <si>
    <t>G29687</t>
    <phoneticPr fontId="1"/>
  </si>
  <si>
    <t>G29688</t>
    <phoneticPr fontId="1"/>
  </si>
  <si>
    <t>G80093</t>
    <phoneticPr fontId="1"/>
  </si>
  <si>
    <t>V07550</t>
    <phoneticPr fontId="1"/>
  </si>
  <si>
    <t>V07551</t>
    <phoneticPr fontId="1"/>
  </si>
  <si>
    <t>V07552</t>
    <phoneticPr fontId="1"/>
  </si>
  <si>
    <t>V07553</t>
    <phoneticPr fontId="1"/>
  </si>
  <si>
    <t>V07554</t>
    <phoneticPr fontId="1"/>
  </si>
  <si>
    <t>V07555</t>
    <phoneticPr fontId="1"/>
  </si>
  <si>
    <t>V07644</t>
    <phoneticPr fontId="1"/>
  </si>
  <si>
    <t>V07645</t>
    <phoneticPr fontId="1"/>
  </si>
  <si>
    <t>V07646</t>
    <phoneticPr fontId="1"/>
  </si>
  <si>
    <t>V07647</t>
    <phoneticPr fontId="1"/>
  </si>
  <si>
    <t>E01382</t>
    <phoneticPr fontId="1"/>
  </si>
  <si>
    <t>E01385</t>
    <phoneticPr fontId="1"/>
  </si>
  <si>
    <t>E01393</t>
    <phoneticPr fontId="1"/>
  </si>
  <si>
    <t>E29940</t>
    <phoneticPr fontId="1"/>
  </si>
  <si>
    <t>E29959</t>
    <phoneticPr fontId="1"/>
  </si>
  <si>
    <t>E80617</t>
    <phoneticPr fontId="1"/>
  </si>
  <si>
    <t>2F</t>
    <phoneticPr fontId="1"/>
  </si>
  <si>
    <t>04</t>
    <phoneticPr fontId="1"/>
  </si>
  <si>
    <t>E60411</t>
    <phoneticPr fontId="1"/>
  </si>
  <si>
    <t>A-1</t>
    <phoneticPr fontId="1"/>
  </si>
  <si>
    <t>05</t>
    <phoneticPr fontId="1"/>
  </si>
  <si>
    <t>E60402</t>
    <phoneticPr fontId="1"/>
  </si>
  <si>
    <t>E60403</t>
    <phoneticPr fontId="1"/>
  </si>
  <si>
    <t>E64901</t>
    <phoneticPr fontId="1"/>
  </si>
  <si>
    <t>E64902</t>
    <phoneticPr fontId="1"/>
  </si>
  <si>
    <t>E64903</t>
  </si>
  <si>
    <t>E64904</t>
  </si>
  <si>
    <t>E64905</t>
  </si>
  <si>
    <t>E64906</t>
  </si>
  <si>
    <t>E64907</t>
  </si>
  <si>
    <t>V07400</t>
    <phoneticPr fontId="1"/>
  </si>
  <si>
    <t>E01021</t>
    <phoneticPr fontId="1"/>
  </si>
  <si>
    <t>E01022</t>
    <phoneticPr fontId="1"/>
  </si>
  <si>
    <t>E01023</t>
  </si>
  <si>
    <t>E01024</t>
  </si>
  <si>
    <t>E01027</t>
    <phoneticPr fontId="1"/>
  </si>
  <si>
    <t>E60412</t>
    <phoneticPr fontId="1"/>
  </si>
  <si>
    <t>E64401</t>
    <phoneticPr fontId="1"/>
  </si>
  <si>
    <t>E01025</t>
    <phoneticPr fontId="1"/>
  </si>
  <si>
    <t>E01026</t>
    <phoneticPr fontId="1"/>
  </si>
  <si>
    <t>E01028</t>
    <phoneticPr fontId="1"/>
  </si>
  <si>
    <t>E63117</t>
    <phoneticPr fontId="1"/>
  </si>
  <si>
    <t>E63116</t>
    <phoneticPr fontId="1"/>
  </si>
  <si>
    <t>E63118</t>
    <phoneticPr fontId="1"/>
  </si>
  <si>
    <t>E63119</t>
    <phoneticPr fontId="1"/>
  </si>
  <si>
    <t>E63144</t>
    <phoneticPr fontId="1"/>
  </si>
  <si>
    <t>E63120</t>
    <phoneticPr fontId="1"/>
  </si>
  <si>
    <t>E63141</t>
    <phoneticPr fontId="1"/>
  </si>
  <si>
    <t>E63142</t>
    <phoneticPr fontId="1"/>
  </si>
  <si>
    <t>G09230</t>
    <phoneticPr fontId="1"/>
  </si>
  <si>
    <t>G09231</t>
    <phoneticPr fontId="1"/>
  </si>
  <si>
    <t>G06162</t>
    <phoneticPr fontId="1"/>
  </si>
  <si>
    <t>G09233</t>
    <phoneticPr fontId="1"/>
  </si>
  <si>
    <t>G06188</t>
    <phoneticPr fontId="1"/>
  </si>
  <si>
    <t>G06131</t>
    <phoneticPr fontId="1"/>
  </si>
  <si>
    <t>G06128</t>
    <phoneticPr fontId="1"/>
  </si>
  <si>
    <t>G06133</t>
    <phoneticPr fontId="1"/>
  </si>
  <si>
    <t>G06127</t>
    <phoneticPr fontId="1"/>
  </si>
  <si>
    <t>V05681</t>
    <phoneticPr fontId="1"/>
  </si>
  <si>
    <t>E80647</t>
    <phoneticPr fontId="1"/>
  </si>
  <si>
    <t>E80636</t>
    <phoneticPr fontId="1"/>
  </si>
  <si>
    <t>E80645</t>
    <phoneticPr fontId="1"/>
  </si>
  <si>
    <t>E80642</t>
    <phoneticPr fontId="1"/>
  </si>
  <si>
    <t>E80632</t>
    <phoneticPr fontId="1"/>
  </si>
  <si>
    <t>E80643</t>
    <phoneticPr fontId="1"/>
  </si>
  <si>
    <t>B-1</t>
    <phoneticPr fontId="1"/>
  </si>
  <si>
    <t>E63104</t>
    <phoneticPr fontId="1"/>
  </si>
  <si>
    <t>E63102</t>
    <phoneticPr fontId="1"/>
  </si>
  <si>
    <t>E63105</t>
    <phoneticPr fontId="1"/>
  </si>
  <si>
    <t>E63106</t>
    <phoneticPr fontId="1"/>
  </si>
  <si>
    <t>E63108</t>
    <phoneticPr fontId="1"/>
  </si>
  <si>
    <t>E63107</t>
    <phoneticPr fontId="1"/>
  </si>
  <si>
    <t>E63101</t>
    <phoneticPr fontId="1"/>
  </si>
  <si>
    <t>E63132</t>
    <phoneticPr fontId="1"/>
  </si>
  <si>
    <t>E63134</t>
    <phoneticPr fontId="1"/>
  </si>
  <si>
    <t>E63133</t>
    <phoneticPr fontId="1"/>
  </si>
  <si>
    <t>E63135</t>
    <phoneticPr fontId="1"/>
  </si>
  <si>
    <t>E63143</t>
    <phoneticPr fontId="1"/>
  </si>
  <si>
    <t>E63140</t>
    <phoneticPr fontId="1"/>
  </si>
  <si>
    <t>E63181</t>
    <phoneticPr fontId="1"/>
  </si>
  <si>
    <t>G15239</t>
    <phoneticPr fontId="1"/>
  </si>
  <si>
    <t>E63112</t>
    <phoneticPr fontId="1"/>
  </si>
  <si>
    <t>E63111</t>
    <phoneticPr fontId="1"/>
  </si>
  <si>
    <t>E63114</t>
    <phoneticPr fontId="1"/>
  </si>
  <si>
    <t>E63113</t>
    <phoneticPr fontId="1"/>
  </si>
  <si>
    <t>E63121</t>
    <phoneticPr fontId="1"/>
  </si>
  <si>
    <t>E63115</t>
    <phoneticPr fontId="1"/>
  </si>
  <si>
    <t>E63122</t>
    <phoneticPr fontId="1"/>
  </si>
  <si>
    <t>E63123</t>
    <phoneticPr fontId="1"/>
  </si>
  <si>
    <t>E63126</t>
    <phoneticPr fontId="1"/>
  </si>
  <si>
    <t>E63125</t>
    <phoneticPr fontId="1"/>
  </si>
  <si>
    <t>E63124</t>
    <phoneticPr fontId="1"/>
  </si>
  <si>
    <t>E63148</t>
    <phoneticPr fontId="1"/>
  </si>
  <si>
    <t>E63147</t>
    <phoneticPr fontId="1"/>
  </si>
  <si>
    <t>E63146</t>
    <phoneticPr fontId="1"/>
  </si>
  <si>
    <t>E63157</t>
    <phoneticPr fontId="1"/>
  </si>
  <si>
    <t>E63156</t>
    <phoneticPr fontId="1"/>
  </si>
  <si>
    <t>E63158</t>
    <phoneticPr fontId="1"/>
  </si>
  <si>
    <t>E63159</t>
    <phoneticPr fontId="1"/>
  </si>
  <si>
    <t>E63145</t>
    <phoneticPr fontId="1"/>
  </si>
  <si>
    <t>E63160</t>
    <phoneticPr fontId="1"/>
  </si>
  <si>
    <t>E63188</t>
    <phoneticPr fontId="1"/>
  </si>
  <si>
    <t>E63189</t>
    <phoneticPr fontId="1"/>
  </si>
  <si>
    <t>E63187</t>
    <phoneticPr fontId="1"/>
  </si>
  <si>
    <t>E63186</t>
    <phoneticPr fontId="1"/>
  </si>
  <si>
    <t>E63184</t>
    <phoneticPr fontId="1"/>
  </si>
  <si>
    <t>E63185</t>
    <phoneticPr fontId="1"/>
  </si>
  <si>
    <t>E63183</t>
    <phoneticPr fontId="1"/>
  </si>
  <si>
    <t>E63182</t>
    <phoneticPr fontId="1"/>
  </si>
  <si>
    <t>G06177</t>
    <phoneticPr fontId="1"/>
  </si>
  <si>
    <t>G06176</t>
    <phoneticPr fontId="1"/>
  </si>
  <si>
    <t>G06135</t>
    <phoneticPr fontId="1"/>
  </si>
  <si>
    <t>G06134</t>
    <phoneticPr fontId="1"/>
  </si>
  <si>
    <t>G09229</t>
    <phoneticPr fontId="1"/>
  </si>
  <si>
    <t>G06048</t>
    <phoneticPr fontId="1"/>
  </si>
  <si>
    <t>G06058</t>
    <phoneticPr fontId="1"/>
  </si>
  <si>
    <t>G09232</t>
    <phoneticPr fontId="1"/>
  </si>
  <si>
    <t>G06130</t>
    <phoneticPr fontId="1"/>
  </si>
  <si>
    <t>G06129</t>
    <phoneticPr fontId="1"/>
  </si>
  <si>
    <t>G09234</t>
    <phoneticPr fontId="1"/>
  </si>
  <si>
    <t>E80633</t>
    <phoneticPr fontId="1"/>
  </si>
  <si>
    <t>E80638</t>
    <phoneticPr fontId="1"/>
  </si>
  <si>
    <t>E80637</t>
    <phoneticPr fontId="1"/>
  </si>
  <si>
    <t>E80644</t>
    <phoneticPr fontId="1"/>
  </si>
  <si>
    <t>04</t>
    <phoneticPr fontId="1"/>
  </si>
  <si>
    <t>A01605</t>
    <phoneticPr fontId="1"/>
  </si>
  <si>
    <t>04</t>
  </si>
  <si>
    <t>04</t>
    <phoneticPr fontId="1"/>
  </si>
  <si>
    <t>M</t>
    <phoneticPr fontId="1"/>
  </si>
  <si>
    <t>A00213</t>
    <phoneticPr fontId="1"/>
  </si>
  <si>
    <t>A00313</t>
    <phoneticPr fontId="1"/>
  </si>
  <si>
    <t>A00413</t>
    <phoneticPr fontId="1"/>
  </si>
  <si>
    <t>大閃光ブレードディスプレイスタンド(LUMICA)</t>
    <phoneticPr fontId="1"/>
  </si>
  <si>
    <t>A00513</t>
    <phoneticPr fontId="1"/>
  </si>
  <si>
    <t>A03203</t>
    <phoneticPr fontId="1"/>
  </si>
  <si>
    <t>H</t>
    <phoneticPr fontId="1"/>
  </si>
  <si>
    <t>04</t>
    <phoneticPr fontId="1"/>
  </si>
  <si>
    <t>C19200</t>
    <phoneticPr fontId="1"/>
  </si>
  <si>
    <t>C19201</t>
  </si>
  <si>
    <t>C19202</t>
  </si>
  <si>
    <t>C19203</t>
  </si>
  <si>
    <t>C19204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</si>
</sst>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Noto Sans JP"/>
      <family val="2"/>
      <charset val="134"/>
    </font>
    <font>
      <sz val="11"/>
      <color theme="1"/>
      <name val="ＭＳ Ｐゴシック"/>
      <family val="3"/>
      <charset val="128"/>
      <scheme val="major"/>
    </font>
    <font>
      <sz val="18"/>
      <color theme="0"/>
      <name val="ＭＳ Ｐゴシック"/>
      <family val="3"/>
      <charset val="128"/>
      <scheme val="major"/>
    </font>
    <font>
      <sz val="11"/>
      <color theme="0"/>
      <name val="ＭＳ Ｐゴシック"/>
      <family val="3"/>
      <charset val="128"/>
      <scheme val="major"/>
    </font>
    <font>
      <sz val="11"/>
      <color theme="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</font>
  </fonts>
  <fills count="7">
    <fill>
      <patternFill patternType="none"/>
    </fill>
    <fill>
      <patternFill patternType="gray125"/>
    </fill>
    <fill>
      <gradientFill degree="90">
        <stop position="0">
          <color theme="8" tint="-0.49803155613879818"/>
        </stop>
        <stop position="1">
          <color theme="4"/>
        </stop>
      </gradient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0">
    <xf numFmtId="0" fontId="0" fillId="0" borderId="0" xfId="0">
      <alignment vertical="center"/>
    </xf>
    <xf numFmtId="49" fontId="3" fillId="0" borderId="0" xfId="0" applyNumberFormat="1" applyFont="1" applyAlignment="1">
      <alignment horizontal="left" vertical="center"/>
    </xf>
    <xf numFmtId="49" fontId="4" fillId="6" borderId="1" xfId="0" applyNumberFormat="1" applyFont="1" applyFill="1" applyBorder="1" applyAlignment="1">
      <alignment horizontal="left" vertical="center"/>
    </xf>
    <xf numFmtId="0" fontId="4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4" fontId="6" fillId="2" borderId="2" xfId="0" applyNumberFormat="1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1" xfId="0" applyFill="1" applyBorder="1">
      <alignment vertical="center"/>
    </xf>
    <xf numFmtId="0" fontId="9" fillId="3" borderId="1" xfId="0" applyFont="1" applyFill="1" applyBorder="1" applyAlignment="1">
      <alignment horizontal="center" vertical="center"/>
    </xf>
  </cellXfs>
  <cellStyles count="2">
    <cellStyle name="標準" xfId="0" builtinId="0"/>
    <cellStyle name="標準 2" xfId="1" xr:uid="{66DEB3D5-8EFD-4629-A23C-8275BF389459}"/>
  </cellStyles>
  <dxfs count="0"/>
  <tableStyles count="0" defaultTableStyle="TableStyleMedium2" defaultPivotStyle="PivotStyleLight16"/>
  <colors>
    <mruColors>
      <color rgb="FFFFFF99"/>
      <color rgb="FFFF99FF"/>
      <color rgb="FF99FF99"/>
      <color rgb="FFFF7C80"/>
      <color rgb="FFCC99FF"/>
      <color rgb="FFFFCC99"/>
      <color rgb="FFCCC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lumica-wvts02\seisankanri\&#29289;&#27969;&#31649;&#29702;\syuttka.xlsm" TargetMode="External"/><Relationship Id="rId1" Type="http://schemas.openxmlformats.org/officeDocument/2006/relationships/externalLinkPath" Target="file:///\\lumica-wvts02\seisankanri\&#29289;&#27969;&#31649;&#29702;\syuttka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lumica-wvts02\seisankanri\&#29289;&#27969;&#31649;&#29702;\zairyo.xlsm" TargetMode="External"/><Relationship Id="rId1" Type="http://schemas.openxmlformats.org/officeDocument/2006/relationships/externalLinkPath" Target="file:///\\lumica-wvts02\seisankanri\&#29289;&#27969;&#31649;&#29702;\zairy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在庫金額"/>
      <sheetName val="FSHIP"/>
      <sheetName val="釣具商品ship"/>
      <sheetName val="NV6ship"/>
      <sheetName val="NVship"/>
      <sheetName val="ｾﾚship"/>
      <sheetName val="ｾﾚﾓﾆｰ商品ship"/>
      <sheetName val="OEMship"/>
      <sheetName val="玩具商品ship"/>
      <sheetName val="スポット商品ship"/>
      <sheetName val="ﾍﾟｯﾄship"/>
      <sheetName val="海ship"/>
      <sheetName val="セリアship"/>
      <sheetName val="ダイソーship"/>
      <sheetName val="期末調製品(簿外)"/>
      <sheetName val="Sheet1"/>
      <sheetName val="Module1"/>
    </sheetNames>
    <sheetDataSet>
      <sheetData sheetId="0"/>
      <sheetData sheetId="1">
        <row r="1">
          <cell r="A1">
            <v>25</v>
          </cell>
          <cell r="B1" t="str">
            <v>日←日付を数字で入力後、マクロボタンを押す</v>
          </cell>
        </row>
        <row r="2">
          <cell r="A2"/>
          <cell r="B2" t="str">
            <v>FISHING</v>
          </cell>
        </row>
        <row r="3">
          <cell r="A3" t="str">
            <v>CODE</v>
          </cell>
          <cell r="B3" t="str">
            <v>製品名　</v>
          </cell>
        </row>
        <row r="4">
          <cell r="A4" t="str">
            <v>A00103</v>
          </cell>
          <cell r="B4" t="str">
            <v>ケミホタル２０　セット</v>
          </cell>
        </row>
        <row r="5">
          <cell r="A5" t="str">
            <v>A00209</v>
          </cell>
          <cell r="B5" t="str">
            <v>ケミホタル25イエロー(2本入り)</v>
          </cell>
        </row>
        <row r="6">
          <cell r="A6" t="str">
            <v>A00210</v>
          </cell>
          <cell r="B6" t="str">
            <v>ケミホタル25レッド(2本入り)</v>
          </cell>
        </row>
        <row r="7">
          <cell r="A7" t="str">
            <v>A00211</v>
          </cell>
          <cell r="B7" t="str">
            <v>ケミホタル25イエロー(2本入) 3枚ｾｯﾄ</v>
          </cell>
        </row>
        <row r="8">
          <cell r="A8" t="str">
            <v>A00213</v>
          </cell>
          <cell r="B8" t="str">
            <v>ケミホタル25レッド（2本入）3枚セット</v>
          </cell>
        </row>
        <row r="9">
          <cell r="A9" t="str">
            <v>A00309</v>
          </cell>
          <cell r="B9" t="str">
            <v>ケミホタル37イエロー(2本入り)</v>
          </cell>
        </row>
        <row r="10">
          <cell r="A10" t="str">
            <v>A00310</v>
          </cell>
          <cell r="B10" t="str">
            <v>ケミホタル37レッド(2本入り)</v>
          </cell>
        </row>
        <row r="11">
          <cell r="A11" t="str">
            <v>A00311</v>
          </cell>
          <cell r="B11" t="str">
            <v>ケミホタル37イエロー(2本入) 3枚ｾｯﾄ</v>
          </cell>
        </row>
        <row r="12">
          <cell r="A12" t="str">
            <v>A00313</v>
          </cell>
          <cell r="B12" t="str">
            <v>ケミホタル37レッド（2本入）3枚セット</v>
          </cell>
        </row>
        <row r="13">
          <cell r="A13" t="str">
            <v>A00409</v>
          </cell>
          <cell r="B13" t="str">
            <v>ケミホタル50イエロー(2本入り)</v>
          </cell>
        </row>
        <row r="14">
          <cell r="A14" t="str">
            <v>A00410</v>
          </cell>
          <cell r="B14" t="str">
            <v>ケミホタル50レッド(2本入り)</v>
          </cell>
        </row>
        <row r="15">
          <cell r="A15" t="str">
            <v>A00411</v>
          </cell>
          <cell r="B15" t="str">
            <v>ケミホタル50イエロー(2本入) 3枚ｾｯﾄ</v>
          </cell>
        </row>
        <row r="16">
          <cell r="A16" t="str">
            <v>A00413</v>
          </cell>
          <cell r="B16" t="str">
            <v>ケミホタル50レッド（2本入）3枚セット</v>
          </cell>
        </row>
        <row r="17">
          <cell r="A17" t="str">
            <v>A00509</v>
          </cell>
          <cell r="B17" t="str">
            <v>ケミホタル75イエロー(2本入り)</v>
          </cell>
        </row>
        <row r="18">
          <cell r="A18" t="str">
            <v>A00510</v>
          </cell>
          <cell r="B18" t="str">
            <v>ケミホタル75レッド(2本入り)</v>
          </cell>
        </row>
        <row r="19">
          <cell r="A19" t="str">
            <v>A00511</v>
          </cell>
          <cell r="B19" t="str">
            <v>ケミホタル75イエロー(2本入) 3枚ｾｯﾄ</v>
          </cell>
        </row>
        <row r="20">
          <cell r="A20" t="str">
            <v>A00513</v>
          </cell>
          <cell r="B20" t="str">
            <v>ケミホタル75レッド（2本入）3枚セット</v>
          </cell>
        </row>
        <row r="21">
          <cell r="A21" t="str">
            <v>A00601</v>
          </cell>
          <cell r="B21" t="str">
            <v>ケミホタル１００</v>
          </cell>
        </row>
        <row r="22">
          <cell r="A22" t="str">
            <v>A00701</v>
          </cell>
          <cell r="B22" t="str">
            <v>ケミホタル１２０</v>
          </cell>
        </row>
        <row r="23">
          <cell r="A23" t="str">
            <v>A01302</v>
          </cell>
          <cell r="B23" t="str">
            <v>からまんホタル（小）</v>
          </cell>
        </row>
        <row r="24">
          <cell r="A24" t="str">
            <v>A01303</v>
          </cell>
          <cell r="B24" t="str">
            <v>からまんホタル（中）</v>
          </cell>
        </row>
        <row r="25">
          <cell r="A25" t="str">
            <v>A01401</v>
          </cell>
          <cell r="B25" t="str">
            <v>ちもとホタル</v>
          </cell>
        </row>
        <row r="26">
          <cell r="A26" t="str">
            <v>A01501</v>
          </cell>
          <cell r="B26" t="str">
            <v>ピタホタル</v>
          </cell>
        </row>
        <row r="27">
          <cell r="A27" t="str">
            <v>A01601</v>
          </cell>
          <cell r="B27" t="str">
            <v>アジホタル</v>
          </cell>
        </row>
        <row r="28">
          <cell r="A28" t="str">
            <v>A01602</v>
          </cell>
          <cell r="B28" t="str">
            <v>アジホタル ブルー</v>
          </cell>
        </row>
        <row r="29">
          <cell r="A29" t="str">
            <v>A01603</v>
          </cell>
          <cell r="B29" t="str">
            <v>アジホタル　アクアブルー</v>
          </cell>
        </row>
        <row r="30">
          <cell r="A30" t="str">
            <v>A01604</v>
          </cell>
          <cell r="B30" t="str">
            <v>アジホタル　バイオレット</v>
          </cell>
        </row>
        <row r="31">
          <cell r="A31" t="str">
            <v>A01605</v>
          </cell>
          <cell r="B31" t="str">
            <v>アジホタル　レッド</v>
          </cell>
        </row>
        <row r="32">
          <cell r="A32" t="str">
            <v>A01701</v>
          </cell>
          <cell r="B32" t="str">
            <v>ケミチューン　ワインドグリーン</v>
          </cell>
        </row>
        <row r="33">
          <cell r="A33" t="str">
            <v>A02001</v>
          </cell>
          <cell r="B33" t="str">
            <v>ケミホタル　Ｘ－２５</v>
          </cell>
        </row>
        <row r="34">
          <cell r="A34" t="str">
            <v>A03002</v>
          </cell>
          <cell r="B34" t="str">
            <v>ウミホタル　ミニ　２本入</v>
          </cell>
        </row>
        <row r="35">
          <cell r="A35" t="str">
            <v>A03102</v>
          </cell>
          <cell r="B35" t="str">
            <v>ウミホタル　レギュラー　１本入</v>
          </cell>
        </row>
        <row r="36">
          <cell r="A36" t="str">
            <v>A03201</v>
          </cell>
          <cell r="B36" t="str">
            <v>ウミホタル　ビッグ　１本入</v>
          </cell>
        </row>
        <row r="37">
          <cell r="A37" t="str">
            <v>A03202</v>
          </cell>
          <cell r="B37" t="str">
            <v>ウミホタル　ビッグブルー</v>
          </cell>
        </row>
        <row r="38">
          <cell r="A38" t="str">
            <v>A03203</v>
          </cell>
          <cell r="B38" t="str">
            <v>ウミホタル　ビッグ レッド</v>
          </cell>
        </row>
        <row r="39">
          <cell r="A39" t="str">
            <v>A05011</v>
          </cell>
          <cell r="B39" t="str">
            <v>デンケミⅡ37　グリーン</v>
          </cell>
        </row>
        <row r="40">
          <cell r="A40" t="str">
            <v>A05012</v>
          </cell>
          <cell r="B40" t="str">
            <v>デンケミⅡ37　レッド</v>
          </cell>
        </row>
        <row r="41">
          <cell r="A41" t="str">
            <v>A05015</v>
          </cell>
          <cell r="B41" t="str">
            <v>デンケミⅡ50　グリーン</v>
          </cell>
        </row>
        <row r="42">
          <cell r="A42" t="str">
            <v>A05016</v>
          </cell>
          <cell r="B42" t="str">
            <v>デンケミⅡ50　レッド</v>
          </cell>
        </row>
        <row r="43">
          <cell r="A43" t="str">
            <v>A05019</v>
          </cell>
          <cell r="B43" t="str">
            <v>デンケミⅡ75　グリーン</v>
          </cell>
        </row>
        <row r="44">
          <cell r="A44" t="str">
            <v>A05020</v>
          </cell>
          <cell r="B44" t="str">
            <v>デンケミⅡ75　レッド</v>
          </cell>
        </row>
        <row r="45">
          <cell r="A45" t="str">
            <v>A05411</v>
          </cell>
          <cell r="B45" t="str">
            <v>ぎょぎょライトLEDⅡグリーンM</v>
          </cell>
        </row>
        <row r="46">
          <cell r="A46" t="str">
            <v>A05412</v>
          </cell>
          <cell r="B46" t="str">
            <v>ぎょぎょライトLEDⅡグリーンL</v>
          </cell>
        </row>
        <row r="47">
          <cell r="A47" t="str">
            <v>A05413</v>
          </cell>
          <cell r="B47" t="str">
            <v>ぎょぎょライトLEDⅡレッドM</v>
          </cell>
        </row>
        <row r="48">
          <cell r="A48" t="str">
            <v>A05414</v>
          </cell>
          <cell r="B48" t="str">
            <v>ぎょぎょライトLEDⅡレッドL</v>
          </cell>
        </row>
        <row r="49">
          <cell r="A49" t="str">
            <v>A05415</v>
          </cell>
          <cell r="B49" t="str">
            <v>ぎょぎょライトLEDⅡピンクM</v>
          </cell>
        </row>
        <row r="50">
          <cell r="A50" t="str">
            <v>A05417</v>
          </cell>
          <cell r="B50" t="str">
            <v>ぎょぎょライトLEDⅡホワイトM</v>
          </cell>
        </row>
        <row r="51">
          <cell r="A51" t="str">
            <v>A10106</v>
          </cell>
          <cell r="B51" t="str">
            <v>ぎょぎょﾗｲﾄ３７(2本入)</v>
          </cell>
        </row>
        <row r="52">
          <cell r="A52" t="str">
            <v>A12001</v>
          </cell>
          <cell r="B52" t="str">
            <v>ぎょぎょﾗｲﾄﾜﾝﾀｯﾁＳＳ</v>
          </cell>
        </row>
        <row r="53">
          <cell r="A53" t="str">
            <v>A12601</v>
          </cell>
          <cell r="B53" t="str">
            <v>ぎょぎょﾗｲﾄﾜﾝﾀｯﾁ Ｓ</v>
          </cell>
        </row>
        <row r="54">
          <cell r="A54" t="str">
            <v>A12602</v>
          </cell>
          <cell r="B54" t="str">
            <v>ぎょぎょﾗｲﾄﾜﾝﾀｯﾁ Ｓ（3枚ｾｯﾄ）</v>
          </cell>
        </row>
        <row r="55">
          <cell r="A55" t="str">
            <v>A12701</v>
          </cell>
          <cell r="B55" t="str">
            <v>ぎょぎょﾗｲﾄﾜﾝﾀｯﾁ Ｍ</v>
          </cell>
        </row>
        <row r="56">
          <cell r="A56" t="str">
            <v>A12702</v>
          </cell>
          <cell r="B56" t="str">
            <v>ぎょぎょﾗｲﾄﾜﾝﾀｯﾁ Ｍ（3枚ｾｯﾄ）</v>
          </cell>
        </row>
        <row r="57">
          <cell r="A57" t="str">
            <v>A12801</v>
          </cell>
          <cell r="B57" t="str">
            <v>ぎょぎょﾗｲﾄﾜﾝﾀｯﾁ Ｌ</v>
          </cell>
        </row>
        <row r="58">
          <cell r="A58" t="str">
            <v>A12802</v>
          </cell>
          <cell r="B58" t="str">
            <v>ぎょぎょﾗｲﾄﾜﾝﾀｯﾁ Ｌ（3枚ｾｯﾄ）</v>
          </cell>
        </row>
        <row r="59">
          <cell r="A59" t="str">
            <v>A12901</v>
          </cell>
          <cell r="B59" t="str">
            <v>ぎょぎょﾗｲﾄﾜﾝﾀｯﾁ ＬＬ</v>
          </cell>
        </row>
        <row r="60">
          <cell r="A60" t="str">
            <v>A12902</v>
          </cell>
          <cell r="B60" t="str">
            <v>ぎょぎょﾗｲﾄﾜﾝﾀｯﾁ LL（3枚ｾｯﾄ）</v>
          </cell>
        </row>
        <row r="61">
          <cell r="A61" t="str">
            <v>A13001</v>
          </cell>
          <cell r="B61" t="str">
            <v>ぎょぎょﾗｲﾄﾜﾝﾀｯﾁ ３Ｌ</v>
          </cell>
        </row>
        <row r="62">
          <cell r="A62" t="str">
            <v>A15101</v>
          </cell>
          <cell r="B62" t="str">
            <v>ルミコ　グリーン</v>
          </cell>
        </row>
        <row r="63">
          <cell r="A63" t="str">
            <v>A15102</v>
          </cell>
          <cell r="B63" t="str">
            <v>ルミコ　ブルー</v>
          </cell>
        </row>
        <row r="64">
          <cell r="A64" t="str">
            <v>A15103</v>
          </cell>
          <cell r="B64" t="str">
            <v>ルミコ　オレンジ</v>
          </cell>
        </row>
        <row r="65">
          <cell r="A65" t="str">
            <v>A15104</v>
          </cell>
          <cell r="B65" t="str">
            <v>ルミコ　アクアブルー</v>
          </cell>
        </row>
        <row r="66">
          <cell r="A66" t="str">
            <v>A15105</v>
          </cell>
          <cell r="B66" t="str">
            <v>ルミコ　レッド</v>
          </cell>
        </row>
        <row r="67">
          <cell r="A67" t="str">
            <v>A15106</v>
          </cell>
          <cell r="B67" t="str">
            <v>ルミコ　イエロー</v>
          </cell>
        </row>
        <row r="68">
          <cell r="A68" t="str">
            <v>A15109</v>
          </cell>
          <cell r="B68" t="str">
            <v>テンヤホタル　クリア</v>
          </cell>
        </row>
        <row r="69">
          <cell r="A69" t="str">
            <v>A15112</v>
          </cell>
          <cell r="B69" t="str">
            <v>あなご天国　37</v>
          </cell>
        </row>
        <row r="70">
          <cell r="A70" t="str">
            <v>A15115</v>
          </cell>
          <cell r="B70" t="str">
            <v>ｹﾐﾎﾀﾙﾃﾝﾔ光弾 40号 ﾌﾞﾙﾋﾟﾝ</v>
          </cell>
        </row>
        <row r="71">
          <cell r="A71" t="str">
            <v>A15116</v>
          </cell>
          <cell r="B71" t="str">
            <v>ｹﾐﾎﾀﾙﾃﾝﾔ光弾 40号 ﾊﾟｰﾌﾟﾙｾﾞﾌﾞﾗ</v>
          </cell>
        </row>
        <row r="72">
          <cell r="A72" t="str">
            <v>A15117</v>
          </cell>
          <cell r="B72" t="str">
            <v>ｹﾐﾎﾀﾙﾃﾝﾔ光弾 50号 ｸﾞﾛｰ</v>
          </cell>
        </row>
        <row r="73">
          <cell r="A73" t="str">
            <v>A15119</v>
          </cell>
          <cell r="B73" t="str">
            <v>ｹﾐﾎﾀﾙﾃﾝﾔ光弾 50号 ﾌﾞﾙﾋﾟﾝ</v>
          </cell>
        </row>
        <row r="74">
          <cell r="A74" t="str">
            <v>A15120</v>
          </cell>
          <cell r="B74" t="str">
            <v>ｹﾐﾎﾀﾙﾃﾝﾔ光弾 50号 ﾊﾟｰﾌﾟﾙｾﾞﾌﾞﾗ</v>
          </cell>
        </row>
        <row r="75">
          <cell r="A75" t="str">
            <v>A16009</v>
          </cell>
          <cell r="B75" t="str">
            <v>パワー太刀魚50オレンジ(2本入り)</v>
          </cell>
        </row>
        <row r="76">
          <cell r="A76" t="str">
            <v>A16012</v>
          </cell>
          <cell r="B76" t="str">
            <v>パワー太刀魚50イエロー(2本入り)</v>
          </cell>
        </row>
        <row r="77">
          <cell r="A77" t="str">
            <v>A16013</v>
          </cell>
          <cell r="B77" t="str">
            <v>パワー太刀魚50レッド(2本入り)</v>
          </cell>
        </row>
        <row r="78">
          <cell r="A78" t="str">
            <v>A16014</v>
          </cell>
          <cell r="B78" t="str">
            <v>パワー太刀魚50イエロー(2本入) 3枚ｾｯﾄ</v>
          </cell>
        </row>
        <row r="79">
          <cell r="A79" t="str">
            <v>A16015</v>
          </cell>
          <cell r="B79" t="str">
            <v>パワー太刀魚50 ｶﾗｰﾛｰﾃｰｼｮﾝﾊﾟｯｸ</v>
          </cell>
        </row>
        <row r="80">
          <cell r="A80" t="str">
            <v>A16016</v>
          </cell>
          <cell r="B80" t="str">
            <v>パワー太刀魚50 ピンク(2本入)</v>
          </cell>
        </row>
        <row r="81">
          <cell r="A81" t="str">
            <v>A16017</v>
          </cell>
          <cell r="B81" t="str">
            <v>パワー太刀魚50 ブルー(2本入）</v>
          </cell>
        </row>
        <row r="82">
          <cell r="A82" t="str">
            <v>A16109</v>
          </cell>
          <cell r="B82" t="str">
            <v>パワー太刀魚75オレンジ(2本入り)</v>
          </cell>
        </row>
        <row r="83">
          <cell r="A83" t="str">
            <v>A16112</v>
          </cell>
          <cell r="B83" t="str">
            <v>パワー太刀魚75イエロー(2本入り)</v>
          </cell>
        </row>
        <row r="84">
          <cell r="A84" t="str">
            <v>A16113</v>
          </cell>
          <cell r="B84" t="str">
            <v>パワー太刀魚75レッド(2本入り)</v>
          </cell>
        </row>
        <row r="85">
          <cell r="A85" t="str">
            <v>A16114</v>
          </cell>
          <cell r="B85" t="str">
            <v>パワー太刀魚75イエロー(2本入) 3枚ｾｯﾄ</v>
          </cell>
        </row>
        <row r="86">
          <cell r="A86" t="str">
            <v>A16115</v>
          </cell>
          <cell r="B86" t="str">
            <v>パワー太刀魚75 ｶﾗｰﾛｰﾃｰｼｮﾝﾊﾟｯｸ</v>
          </cell>
        </row>
        <row r="87">
          <cell r="A87" t="str">
            <v>A16116</v>
          </cell>
          <cell r="B87" t="str">
            <v>パワー太刀魚75 ピンク(2本入)</v>
          </cell>
        </row>
        <row r="88">
          <cell r="A88" t="str">
            <v>A16117</v>
          </cell>
          <cell r="B88" t="str">
            <v>パワー太刀魚75 ブルー(2本入）</v>
          </cell>
        </row>
        <row r="89">
          <cell r="A89" t="str">
            <v>A16424</v>
          </cell>
          <cell r="B89" t="str">
            <v>新必殺太刀魚ウキ仕掛セットＡ　２号</v>
          </cell>
        </row>
        <row r="90">
          <cell r="A90" t="str">
            <v>A17101</v>
          </cell>
          <cell r="B90" t="str">
            <v>いか ６インチ　GREEN</v>
          </cell>
        </row>
        <row r="91">
          <cell r="A91" t="str">
            <v>A17201</v>
          </cell>
          <cell r="B91" t="str">
            <v>イカピッカ３０</v>
          </cell>
        </row>
        <row r="92">
          <cell r="A92" t="str">
            <v>A20206</v>
          </cell>
          <cell r="B92" t="str">
            <v>クイック糸巻</v>
          </cell>
        </row>
        <row r="93">
          <cell r="A93" t="str">
            <v>A20208</v>
          </cell>
          <cell r="B93" t="str">
            <v>Xtradaケミホルダー　ﾋﾟｭｱﾎﾜｲﾄ</v>
          </cell>
        </row>
        <row r="94">
          <cell r="A94" t="str">
            <v>A20209</v>
          </cell>
          <cell r="B94" t="str">
            <v>Xtradaケミホルダー　ﾗｲﾑｸﾞﾘｰﾝ</v>
          </cell>
        </row>
        <row r="95">
          <cell r="A95" t="str">
            <v>A20210</v>
          </cell>
          <cell r="B95" t="str">
            <v>Xtradaケミホルダー　ﾊﾟｯｼｮﾝｵﾚﾝｼﾞ</v>
          </cell>
        </row>
        <row r="96">
          <cell r="A96" t="str">
            <v>A20215</v>
          </cell>
          <cell r="B96" t="str">
            <v>寄ってこい ラトルスティック25</v>
          </cell>
        </row>
        <row r="97">
          <cell r="A97" t="str">
            <v>A20216</v>
          </cell>
          <cell r="B97" t="str">
            <v>寄ってこい ラトルスティック37</v>
          </cell>
        </row>
        <row r="98">
          <cell r="A98" t="str">
            <v>A20226</v>
          </cell>
          <cell r="B98" t="str">
            <v>寄ってこい 集魚ホルダー37</v>
          </cell>
        </row>
        <row r="99">
          <cell r="A99" t="str">
            <v>A20227</v>
          </cell>
          <cell r="B99" t="str">
            <v>寄ってこい 集魚ホルダー50</v>
          </cell>
        </row>
        <row r="100">
          <cell r="A100" t="str">
            <v>A20228</v>
          </cell>
          <cell r="B100" t="str">
            <v>寄ってこい ぶらぶライト25 スプリング</v>
          </cell>
        </row>
        <row r="101">
          <cell r="A101" t="str">
            <v>A20232</v>
          </cell>
          <cell r="B101" t="str">
            <v>寄ってこい ぶらぶライト37 スプリング</v>
          </cell>
        </row>
        <row r="102">
          <cell r="A102" t="str">
            <v>A20241</v>
          </cell>
          <cell r="B102" t="str">
            <v>新鮮イカパック</v>
          </cell>
        </row>
        <row r="103">
          <cell r="A103" t="str">
            <v>A20242</v>
          </cell>
          <cell r="B103" t="str">
            <v>神経締めロング</v>
          </cell>
        </row>
        <row r="104">
          <cell r="A104" t="str">
            <v>A20246</v>
          </cell>
          <cell r="B104" t="str">
            <v>神経締めセット　ショート</v>
          </cell>
        </row>
        <row r="105">
          <cell r="A105" t="str">
            <v>A20277</v>
          </cell>
          <cell r="B105" t="str">
            <v>神経絞めセット　スーパーロング</v>
          </cell>
        </row>
        <row r="106">
          <cell r="A106" t="str">
            <v>A20292</v>
          </cell>
          <cell r="B106" t="str">
            <v>神経絞めセット　ミディアム</v>
          </cell>
        </row>
        <row r="107">
          <cell r="A107" t="str">
            <v>A20361</v>
          </cell>
          <cell r="B107" t="str">
            <v>神経絞めミディアム 0.8mm×600mm</v>
          </cell>
        </row>
        <row r="108">
          <cell r="A108" t="str">
            <v>A20362</v>
          </cell>
          <cell r="B108" t="str">
            <v>神経絞めミディアム 1.2mm×600mm</v>
          </cell>
        </row>
        <row r="109">
          <cell r="A109" t="str">
            <v>A20363</v>
          </cell>
          <cell r="B109" t="str">
            <v>神経絞めロング 1.0mm×800mm</v>
          </cell>
        </row>
        <row r="110">
          <cell r="A110" t="str">
            <v>A20364</v>
          </cell>
          <cell r="B110" t="str">
            <v>神経絞めロング 1.2mm×800mm</v>
          </cell>
        </row>
        <row r="111">
          <cell r="A111" t="str">
            <v>A20365</v>
          </cell>
          <cell r="B111" t="str">
            <v>神経絞め ニードルパイプ 160mm</v>
          </cell>
        </row>
        <row r="112">
          <cell r="A112" t="str">
            <v>A20248</v>
          </cell>
          <cell r="B112" t="str">
            <v>寄ってこい 光略ｶｽﾀﾑｼﾝｶｰ25号 ﾈｵﾝｲｴﾛｰ</v>
          </cell>
        </row>
        <row r="113">
          <cell r="A113" t="str">
            <v>A20252</v>
          </cell>
          <cell r="B113" t="str">
            <v>寄ってこい 光略ｶｽﾀﾑｼﾝｶｰ25号 ﾋﾟｰﾁｸﾞﾛｰ</v>
          </cell>
        </row>
        <row r="114">
          <cell r="A114" t="str">
            <v>A20254</v>
          </cell>
          <cell r="B114" t="str">
            <v>寄ってこい 光略ｶｽﾀﾑｼﾝｶｰ30号 ﾈｵﾝｲｴﾛｰ</v>
          </cell>
        </row>
        <row r="115">
          <cell r="A115" t="str">
            <v>A20258</v>
          </cell>
          <cell r="B115" t="str">
            <v>寄ってこい 光略ｶｽﾀﾑｼﾝｶｰ30号 ﾋﾟｰﾁｸﾞﾛｰ</v>
          </cell>
        </row>
        <row r="116">
          <cell r="A116" t="str">
            <v>A20281</v>
          </cell>
          <cell r="B116" t="str">
            <v>光略ｶｽﾀﾑｼﾝｶｰ30号 ピンクホロ</v>
          </cell>
        </row>
        <row r="117">
          <cell r="A117" t="str">
            <v>A20283</v>
          </cell>
          <cell r="B117" t="str">
            <v>光略ｶｽﾀﾑｼﾝｶｰ30号 ﾌﾞﾙﾋﾟﾝｾﾞﾌﾞﾗ</v>
          </cell>
        </row>
        <row r="118">
          <cell r="A118" t="str">
            <v>A20259</v>
          </cell>
          <cell r="B118" t="str">
            <v>光略ｶｽﾀﾑｼﾝｶｰ50号 ﾋﾟﾝｸﾎﾛ</v>
          </cell>
        </row>
        <row r="119">
          <cell r="A119" t="str">
            <v>A20262</v>
          </cell>
          <cell r="B119" t="str">
            <v>光略ｶｽﾀﾑｼﾝｶｰ50号 ﾋﾟｰﾁｸﾞﾛｰ</v>
          </cell>
        </row>
        <row r="120">
          <cell r="A120" t="str">
            <v>A20264</v>
          </cell>
          <cell r="B120" t="str">
            <v>光略ｶｽﾀﾑｼﾝｶｰ50号 ﾌﾞﾙﾋﾟﾝｾﾞﾌﾞﾗ</v>
          </cell>
        </row>
        <row r="121">
          <cell r="A121" t="str">
            <v>A20265</v>
          </cell>
          <cell r="B121" t="str">
            <v>光略ｶｽﾀﾑｼﾝｶｰ60号 ﾋﾟﾝｸﾎﾛ</v>
          </cell>
        </row>
        <row r="122">
          <cell r="A122" t="str">
            <v>A20268</v>
          </cell>
          <cell r="B122" t="str">
            <v>光略ｶｽﾀﾑｼﾝｶｰ60号 ﾋﾟｰﾁｸﾞﾛｰ</v>
          </cell>
        </row>
        <row r="123">
          <cell r="A123" t="str">
            <v>A20270</v>
          </cell>
          <cell r="B123" t="str">
            <v>光略ｶｽﾀﾑｼﾝｶｰ60号 ﾌﾞﾙﾋﾟﾝｾﾞﾌﾞﾗ</v>
          </cell>
        </row>
        <row r="124">
          <cell r="A124" t="str">
            <v>A20284</v>
          </cell>
          <cell r="B124" t="str">
            <v>光略ｶｽﾀﾑｼﾝｶｰ50号 ネオンイエロー</v>
          </cell>
        </row>
        <row r="125">
          <cell r="A125" t="str">
            <v>A20271</v>
          </cell>
          <cell r="B125" t="str">
            <v>光略ｶｽﾀﾑｼﾝｶｰ80号 ﾋﾟﾝｸﾎﾛ</v>
          </cell>
        </row>
        <row r="126">
          <cell r="A126" t="str">
            <v>A20272</v>
          </cell>
          <cell r="B126" t="str">
            <v>光略ｶｽﾀﾑｼﾝｶｰ80号 ﾈｵﾝｲｴﾛｰ</v>
          </cell>
        </row>
        <row r="127">
          <cell r="A127" t="str">
            <v>A20276</v>
          </cell>
          <cell r="B127" t="str">
            <v>光略ｶｽﾀﾑｼﾝｶｰ80号 ﾌﾞﾙﾋﾟﾝｾﾞﾌﾞﾗ</v>
          </cell>
        </row>
        <row r="128">
          <cell r="A128" t="str">
            <v>A20278</v>
          </cell>
          <cell r="B128" t="str">
            <v>光略ｶｽﾀﾑｼﾝｶｰ25号 ピンクホロ</v>
          </cell>
        </row>
        <row r="129">
          <cell r="A129" t="str">
            <v>A20280</v>
          </cell>
          <cell r="B129" t="str">
            <v>光略ｶｽﾀﾑｼﾝｶｰ25号 ﾌﾞﾙﾋﾟﾝｾﾞﾌﾞﾗ</v>
          </cell>
        </row>
        <row r="130">
          <cell r="A130" t="str">
            <v>A20285</v>
          </cell>
          <cell r="B130" t="str">
            <v>光略ｶｽﾀﾑｼﾝｶｰ60号 ネオンイエロー</v>
          </cell>
        </row>
        <row r="131">
          <cell r="A131" t="str">
            <v>A20286</v>
          </cell>
          <cell r="B131" t="str">
            <v>光略ｶｽﾀﾑｼﾝｶｰ40号 ﾋﾟﾝｸﾎﾛ</v>
          </cell>
        </row>
        <row r="132">
          <cell r="A132" t="str">
            <v>A20287</v>
          </cell>
          <cell r="B132" t="str">
            <v>光略ｶｽﾀﾑｼﾝｶｰ40号 ﾈｵﾝｲｴﾛｰ</v>
          </cell>
        </row>
        <row r="133">
          <cell r="A133" t="str">
            <v>A20289</v>
          </cell>
          <cell r="B133" t="str">
            <v>光略ｶｽﾀﾑｼﾝｶｰ40号 ﾌﾞﾙﾋﾟﾝｾﾞﾌﾞﾗ</v>
          </cell>
        </row>
        <row r="134">
          <cell r="A134" t="str">
            <v>A20296</v>
          </cell>
          <cell r="B134" t="str">
            <v>寄ってこい ﾀｺ足ｼﾝｶｰ50号 ｼﾙﾊﾞｰｾﾞﾌﾞﾗ</v>
          </cell>
        </row>
        <row r="135">
          <cell r="A135" t="str">
            <v>A20301</v>
          </cell>
          <cell r="B135" t="str">
            <v>ケミホタル専用チューブ　２５用</v>
          </cell>
        </row>
        <row r="136">
          <cell r="A136" t="str">
            <v>A20302</v>
          </cell>
          <cell r="B136" t="str">
            <v>ケミホタル専用チューブ　３７用</v>
          </cell>
        </row>
        <row r="137">
          <cell r="A137" t="str">
            <v>A20303</v>
          </cell>
          <cell r="B137" t="str">
            <v>ケミホタル専用チューブ　５０用</v>
          </cell>
        </row>
        <row r="138">
          <cell r="A138" t="str">
            <v>A20304</v>
          </cell>
          <cell r="B138" t="str">
            <v>ケミホタル専用チューブ　７５用</v>
          </cell>
        </row>
        <row r="139">
          <cell r="A139" t="str">
            <v>A20306</v>
          </cell>
          <cell r="B139" t="str">
            <v>光略ｶｽﾀﾑｼﾝｶｰSPEED 20号 ｸﾞﾛｰ</v>
          </cell>
        </row>
        <row r="140">
          <cell r="A140" t="str">
            <v>A20307</v>
          </cell>
          <cell r="B140" t="str">
            <v>光略ｶｽﾀﾑｼﾝｶｰSPEED 20号 ﾏｯﾄﾌﾞﾗｯｸ</v>
          </cell>
        </row>
        <row r="141">
          <cell r="A141" t="str">
            <v>A20308</v>
          </cell>
          <cell r="B141" t="str">
            <v>光略ｶｽﾀﾑｼﾝｶｰSPEED 20号 ﾋﾟﾝｸｾﾞﾌﾞﾗ</v>
          </cell>
        </row>
        <row r="142">
          <cell r="A142" t="str">
            <v>A20309</v>
          </cell>
          <cell r="B142" t="str">
            <v>光略ｶｽﾀﾑｼﾝｶｰSPEED 20号 床屋</v>
          </cell>
        </row>
        <row r="143">
          <cell r="A143" t="str">
            <v>A20310</v>
          </cell>
          <cell r="B143" t="str">
            <v>光略ｶｽﾀﾑｼﾝｶｰSPEED 25号 ｸﾞﾛｰ</v>
          </cell>
        </row>
        <row r="144">
          <cell r="A144" t="str">
            <v>A20311</v>
          </cell>
          <cell r="B144" t="str">
            <v>光略ｶｽﾀﾑｼﾝｶｰSPEED 25号 ﾏｯﾄﾌﾞﾗｯｸ</v>
          </cell>
        </row>
        <row r="145">
          <cell r="A145" t="str">
            <v>A20312</v>
          </cell>
          <cell r="B145" t="str">
            <v>光略ｶｽﾀﾑｼﾝｶｰSPEED 25号 ﾋﾟﾝｸｾﾞﾌﾞﾗ</v>
          </cell>
        </row>
        <row r="146">
          <cell r="A146" t="str">
            <v>A20313</v>
          </cell>
          <cell r="B146" t="str">
            <v>光略ｶｽﾀﾑｼﾝｶｰSPEED 25号 床屋</v>
          </cell>
        </row>
        <row r="147">
          <cell r="A147" t="str">
            <v>A20314</v>
          </cell>
          <cell r="B147" t="str">
            <v>光略ｶｽﾀﾑｼﾝｶｰSPEED 30号 ｸﾞﾛｰ</v>
          </cell>
        </row>
        <row r="148">
          <cell r="A148" t="str">
            <v>A20317</v>
          </cell>
          <cell r="B148" t="str">
            <v>光略ｶｽﾀﾑｼﾝｶｰSPEED 30号 床屋</v>
          </cell>
        </row>
        <row r="149">
          <cell r="A149" t="str">
            <v>A20320</v>
          </cell>
          <cell r="B149" t="str">
            <v>光略ｶｽﾀﾑｼﾝｶｰSPEED 40号 ﾋﾟﾝｸｾﾞﾌﾞﾗ</v>
          </cell>
        </row>
        <row r="150">
          <cell r="A150" t="str">
            <v>A20321</v>
          </cell>
          <cell r="B150" t="str">
            <v>光略ｶｽﾀﾑｼﾝｶｰSPEED 40号 床屋</v>
          </cell>
        </row>
        <row r="151">
          <cell r="A151" t="str">
            <v>A20330</v>
          </cell>
          <cell r="B151" t="str">
            <v>光略ｶｽﾀﾑｼﾝｶｰSPEED 10号 ｸﾞﾛｰ</v>
          </cell>
        </row>
        <row r="152">
          <cell r="A152" t="str">
            <v>A20331</v>
          </cell>
          <cell r="B152" t="str">
            <v>光略ｶｽﾀﾑｼﾝｶｰSPEED 10号 ﾏｯﾄﾌﾞﾗｯｸ</v>
          </cell>
        </row>
        <row r="153">
          <cell r="A153" t="str">
            <v>A20332</v>
          </cell>
          <cell r="B153" t="str">
            <v>光略ｶｽﾀﾑｼﾝｶｰSPEED 10号 ﾋﾟﾝｸｾﾞﾌﾞﾗ</v>
          </cell>
        </row>
        <row r="154">
          <cell r="A154" t="str">
            <v>A20333</v>
          </cell>
          <cell r="B154" t="str">
            <v>光略ｶｽﾀﾑｼﾝｶｰSPEED 10号 床屋</v>
          </cell>
        </row>
        <row r="155">
          <cell r="A155" t="str">
            <v>A20334</v>
          </cell>
          <cell r="B155" t="str">
            <v>光略ｶｽﾀﾑｼﾝｶｰSPEED 15号 ｸﾞﾛｰ</v>
          </cell>
        </row>
        <row r="156">
          <cell r="A156" t="str">
            <v>A20335</v>
          </cell>
          <cell r="B156" t="str">
            <v>光略ｶｽﾀﾑｼﾝｶｰSPEED 15号 ﾏｯﾄﾌﾞﾗｯｸ</v>
          </cell>
        </row>
        <row r="157">
          <cell r="A157" t="str">
            <v>A20336</v>
          </cell>
          <cell r="B157" t="str">
            <v>光略ｶｽﾀﾑｼﾝｶｰSPEED 15号 ﾋﾟﾝｸｾﾞﾌﾞﾗ</v>
          </cell>
        </row>
        <row r="158">
          <cell r="A158" t="str">
            <v>A20337</v>
          </cell>
          <cell r="B158" t="str">
            <v>光略ｶｽﾀﾑｼﾝｶｰSPEED 15号 床屋</v>
          </cell>
        </row>
        <row r="159">
          <cell r="A159" t="str">
            <v>A20340</v>
          </cell>
          <cell r="B159" t="str">
            <v>クイック糸巻プラス</v>
          </cell>
        </row>
        <row r="160">
          <cell r="A160" t="str">
            <v>A20341</v>
          </cell>
          <cell r="B160" t="str">
            <v>光略ｶｽﾀﾑｼﾝｶｰ25号ｷｬﾝﾃﾞｨﾗﾒ</v>
          </cell>
        </row>
        <row r="161">
          <cell r="A161" t="str">
            <v>A20342</v>
          </cell>
          <cell r="B161" t="str">
            <v>光略ｶｽﾀﾑｼﾝｶｰ25号ｱｶｷﾝﾏﾝｺﾞｰ</v>
          </cell>
        </row>
        <row r="162">
          <cell r="A162" t="str">
            <v>A20343</v>
          </cell>
          <cell r="B162" t="str">
            <v>光略ｶｽﾀﾑｼﾝｶｰ25号ｸﾞﾘｷﾝﾊﾞﾅﾅ</v>
          </cell>
        </row>
        <row r="163">
          <cell r="A163" t="str">
            <v>A20344</v>
          </cell>
          <cell r="B163" t="str">
            <v>光略ｶｽﾀﾑｼﾝｶｰ30号ｷｬﾝﾃﾞｨﾗﾒ</v>
          </cell>
        </row>
        <row r="164">
          <cell r="A164" t="str">
            <v>A20345</v>
          </cell>
          <cell r="B164" t="str">
            <v>光略ｶｽﾀﾑｼﾝｶｰ30号ｱｶｷﾝﾏﾝｺﾞｰ</v>
          </cell>
        </row>
        <row r="165">
          <cell r="A165" t="str">
            <v>A20346</v>
          </cell>
          <cell r="B165" t="str">
            <v>光略ｶｽﾀﾑｼﾝｶｰ30号ｸﾞﾘｷﾝﾊﾞﾅﾅ</v>
          </cell>
        </row>
        <row r="166">
          <cell r="A166" t="str">
            <v>A20347</v>
          </cell>
          <cell r="B166" t="str">
            <v>光略ｶｽﾀﾑｼﾝｶｰ40号ｷｬﾝﾃﾞｨﾗﾒ</v>
          </cell>
        </row>
        <row r="167">
          <cell r="A167" t="str">
            <v>A20348</v>
          </cell>
          <cell r="B167" t="str">
            <v>光略ｶｽﾀﾑｼﾝｶｰ40号ｱｶｷﾝﾏﾝｺﾞｰ</v>
          </cell>
        </row>
        <row r="168">
          <cell r="A168" t="str">
            <v>A20349</v>
          </cell>
          <cell r="B168" t="str">
            <v>光略ｶｽﾀﾑｼﾝｶｰ40号ｸﾞﾘｷﾝﾊﾞﾅﾅ</v>
          </cell>
        </row>
        <row r="169">
          <cell r="A169" t="str">
            <v>A20350</v>
          </cell>
          <cell r="B169" t="str">
            <v>光略ｶｽﾀﾑｼﾝｶｰ50号ｷｬﾝﾃﾞｨﾗﾒ</v>
          </cell>
        </row>
        <row r="170">
          <cell r="A170" t="str">
            <v>A20351</v>
          </cell>
          <cell r="B170" t="str">
            <v>光略ｶｽﾀﾑｼﾝｶｰ50号ｱｶｷﾝﾏﾝｺﾞｰ</v>
          </cell>
        </row>
        <row r="171">
          <cell r="A171" t="str">
            <v>A20352</v>
          </cell>
          <cell r="B171" t="str">
            <v>光略ｶｽﾀﾑｼﾝｶｰ50号ｸﾞﾘｷﾝﾊﾞﾅﾅ</v>
          </cell>
        </row>
        <row r="172">
          <cell r="A172" t="str">
            <v>A20353</v>
          </cell>
          <cell r="B172" t="str">
            <v>光略ｶｽﾀﾑｼﾝｶｰ60号ｷｬﾝﾃﾞｨﾗﾒ</v>
          </cell>
        </row>
        <row r="173">
          <cell r="A173" t="str">
            <v>A20354</v>
          </cell>
          <cell r="B173" t="str">
            <v>光略ｶｽﾀﾑｼﾝｶｰ60号ｱｶｷﾝﾏﾝｺﾞｰ</v>
          </cell>
        </row>
        <row r="174">
          <cell r="A174" t="str">
            <v>A20355</v>
          </cell>
          <cell r="B174" t="str">
            <v>光略ｶｽﾀﾑｼﾝｶｰ60号ｸﾞﾘｷﾝﾊﾞﾅﾅ</v>
          </cell>
        </row>
        <row r="175">
          <cell r="A175" t="str">
            <v>A20356</v>
          </cell>
          <cell r="B175" t="str">
            <v>光略ｶｽﾀﾑｼﾝｶｰ80号ｷｬﾝﾃﾞｨﾗﾒ</v>
          </cell>
        </row>
        <row r="176">
          <cell r="A176" t="str">
            <v>A20357</v>
          </cell>
          <cell r="B176" t="str">
            <v>光略ｶｽﾀﾑｼﾝｶｰ80号ｱｶｷﾝﾏﾝｺﾞｰ</v>
          </cell>
        </row>
        <row r="177">
          <cell r="A177" t="str">
            <v>A20358</v>
          </cell>
          <cell r="B177" t="str">
            <v>光略ｶｽﾀﾑｼﾝｶｰ80号ｸﾞﾘｷﾝﾊﾞﾅﾅ</v>
          </cell>
        </row>
        <row r="178">
          <cell r="A178" t="str">
            <v>A20359</v>
          </cell>
          <cell r="B178" t="str">
            <v>光略ｶｽﾀﾑｼﾝｶｰ40号 ﾋﾟｰﾁｸﾞﾛｰ</v>
          </cell>
        </row>
        <row r="179">
          <cell r="A179" t="str">
            <v>A20360</v>
          </cell>
          <cell r="B179" t="str">
            <v>光略ｶｽﾀﾑｼﾝｶｰ80号 ﾋﾟｰﾁｸﾞﾛｰ</v>
          </cell>
        </row>
        <row r="180">
          <cell r="A180" t="str">
            <v>A20366</v>
          </cell>
          <cell r="B180" t="str">
            <v>爆烈釣光ｼﾝｶｰ 25号 ｲｴﾛｰ&amp;ｸﾞﾘｰﾝ</v>
          </cell>
        </row>
        <row r="181">
          <cell r="A181" t="str">
            <v>A20367</v>
          </cell>
          <cell r="B181" t="str">
            <v>爆烈釣光ｼﾝｶｰ 25号 ﾚｯﾄﾞ&amp;ﾚｯﾄﾞ</v>
          </cell>
        </row>
        <row r="182">
          <cell r="A182" t="str">
            <v>A20368</v>
          </cell>
          <cell r="B182" t="str">
            <v>爆烈釣光ｼﾝｶｰ 25号 ｸﾞﾛｰ&amp;ﾌﾞﾙｰ</v>
          </cell>
        </row>
        <row r="183">
          <cell r="A183" t="str">
            <v>A20369</v>
          </cell>
          <cell r="B183" t="str">
            <v>爆烈釣光ｼﾝｶｰ 25号 ﾎﾜｲﾄ&amp;UV</v>
          </cell>
        </row>
        <row r="184">
          <cell r="A184" t="str">
            <v>A20370</v>
          </cell>
          <cell r="B184" t="str">
            <v>爆烈釣光ｼﾝｶｰ 25号 ﾎﾜｲﾄ&amp;ｶﾗｰﾁｪﾝｼﾞ</v>
          </cell>
        </row>
        <row r="185">
          <cell r="A185" t="str">
            <v>A20371</v>
          </cell>
          <cell r="B185" t="str">
            <v>爆烈釣光ｼﾝｶｰ 30号 ｲｴﾛｰ&amp;ｸﾞﾘｰﾝ</v>
          </cell>
        </row>
        <row r="186">
          <cell r="A186" t="str">
            <v>A20372</v>
          </cell>
          <cell r="B186" t="str">
            <v>爆烈釣光ｼﾝｶｰ 30号 ﾚｯﾄﾞ&amp;ﾚｯﾄﾞ</v>
          </cell>
        </row>
        <row r="187">
          <cell r="A187" t="str">
            <v>A20373</v>
          </cell>
          <cell r="B187" t="str">
            <v>爆烈釣光ｼﾝｶｰ 30号 ｸﾞﾛｰ&amp;ﾌﾞﾙｰ</v>
          </cell>
        </row>
        <row r="188">
          <cell r="A188" t="str">
            <v>A20374</v>
          </cell>
          <cell r="B188" t="str">
            <v>爆烈釣光ｼﾝｶｰ 30号 ﾎﾜｲﾄ&amp;UV</v>
          </cell>
        </row>
        <row r="189">
          <cell r="A189" t="str">
            <v>A20375</v>
          </cell>
          <cell r="B189" t="str">
            <v>爆烈釣光ｼﾝｶｰ 30号 ﾎﾜｲﾄ&amp;ｶﾗｰﾁｪﾝｼﾞ</v>
          </cell>
        </row>
        <row r="190">
          <cell r="A190" t="str">
            <v>A20376</v>
          </cell>
          <cell r="B190" t="str">
            <v>不思議なタコさん 3号 グロー</v>
          </cell>
        </row>
        <row r="191">
          <cell r="A191" t="str">
            <v>A20377</v>
          </cell>
          <cell r="B191" t="str">
            <v>不思議なタコさん 3号 レッド</v>
          </cell>
        </row>
        <row r="192">
          <cell r="A192" t="str">
            <v>A20378</v>
          </cell>
          <cell r="B192" t="str">
            <v>不思議なタコさん 3号 アカキン</v>
          </cell>
        </row>
        <row r="193">
          <cell r="A193" t="str">
            <v>A20379</v>
          </cell>
          <cell r="B193" t="str">
            <v>不思議なタコさん 3号 たこ焼き</v>
          </cell>
        </row>
        <row r="194">
          <cell r="A194" t="str">
            <v>A20380</v>
          </cell>
          <cell r="B194" t="str">
            <v>不思議なタコさん 5号 グロー</v>
          </cell>
        </row>
        <row r="195">
          <cell r="A195" t="str">
            <v>A20381</v>
          </cell>
          <cell r="B195" t="str">
            <v>不思議なタコさん 5号 レッド</v>
          </cell>
        </row>
        <row r="196">
          <cell r="A196" t="str">
            <v>A20382</v>
          </cell>
          <cell r="B196" t="str">
            <v>不思議なタコさん 5号 アカキン</v>
          </cell>
        </row>
        <row r="197">
          <cell r="A197" t="str">
            <v>A20383</v>
          </cell>
          <cell r="B197" t="str">
            <v>不思議なタコさん 5号 たこ焼き</v>
          </cell>
        </row>
        <row r="198">
          <cell r="A198" t="str">
            <v>A20384</v>
          </cell>
          <cell r="B198" t="str">
            <v>ハンディおさかなパック中・小型魚用</v>
          </cell>
        </row>
        <row r="199">
          <cell r="A199" t="str">
            <v>A20385</v>
          </cell>
          <cell r="B199" t="str">
            <v>5連イカパック</v>
          </cell>
        </row>
        <row r="200">
          <cell r="A200" t="str">
            <v>A20386</v>
          </cell>
          <cell r="B200" t="str">
            <v>Reala 2.4インチ</v>
          </cell>
        </row>
        <row r="201">
          <cell r="A201" t="str">
            <v>A20402</v>
          </cell>
          <cell r="B201" t="str">
            <v>スクイッドシューター ライトゲーム</v>
          </cell>
        </row>
        <row r="202">
          <cell r="A202" t="str">
            <v>A20411</v>
          </cell>
          <cell r="B202" t="str">
            <v>アルティメイド15号　赤白</v>
          </cell>
        </row>
        <row r="203">
          <cell r="A203" t="str">
            <v>A20412</v>
          </cell>
          <cell r="B203" t="str">
            <v>アルティメイド15号　赤緑</v>
          </cell>
        </row>
        <row r="204">
          <cell r="A204" t="str">
            <v>A20413</v>
          </cell>
          <cell r="B204" t="str">
            <v>アルティメイド15号　小イカ</v>
          </cell>
        </row>
        <row r="205">
          <cell r="A205" t="str">
            <v>A20414</v>
          </cell>
          <cell r="B205" t="str">
            <v>アルティメイド15号　ｺｯﾄﾝｷｬﾝﾃﾞｨ</v>
          </cell>
        </row>
        <row r="206">
          <cell r="A206" t="str">
            <v>A20415</v>
          </cell>
          <cell r="B206" t="str">
            <v>アルティメイド15号　ムラサキピンク</v>
          </cell>
        </row>
        <row r="207">
          <cell r="A207" t="str">
            <v>A20416</v>
          </cell>
          <cell r="B207" t="str">
            <v>アルティメイド15号　チャートイエロー</v>
          </cell>
        </row>
        <row r="208">
          <cell r="A208" t="str">
            <v>A20417</v>
          </cell>
          <cell r="B208" t="str">
            <v>アルティメイド20号　赤白</v>
          </cell>
        </row>
        <row r="209">
          <cell r="A209" t="str">
            <v>A20418</v>
          </cell>
          <cell r="B209" t="str">
            <v>アルティメイド20号　赤緑</v>
          </cell>
        </row>
        <row r="210">
          <cell r="A210" t="str">
            <v>A20419</v>
          </cell>
          <cell r="B210" t="str">
            <v>アルティメイド20号　小イカ</v>
          </cell>
        </row>
        <row r="211">
          <cell r="A211" t="str">
            <v>A20420</v>
          </cell>
          <cell r="B211" t="str">
            <v>アルティメイド20号　ｺｯﾄﾝｷｬﾝﾃﾞｨ</v>
          </cell>
        </row>
        <row r="212">
          <cell r="A212" t="str">
            <v>A20421</v>
          </cell>
          <cell r="B212" t="str">
            <v>アルティメイド20号　ムラサキピンク</v>
          </cell>
        </row>
        <row r="213">
          <cell r="A213" t="str">
            <v>A20422</v>
          </cell>
          <cell r="B213" t="str">
            <v>アルティメイド20号　チャートイエロー</v>
          </cell>
        </row>
        <row r="214">
          <cell r="A214" t="str">
            <v>A20423</v>
          </cell>
          <cell r="B214" t="str">
            <v>アルティメイド25号　赤白</v>
          </cell>
        </row>
        <row r="215">
          <cell r="A215" t="str">
            <v>A20424</v>
          </cell>
          <cell r="B215" t="str">
            <v>アルティメイド25号　赤緑</v>
          </cell>
        </row>
        <row r="216">
          <cell r="A216" t="str">
            <v>A20425</v>
          </cell>
          <cell r="B216" t="str">
            <v>アルティメイド25号　小イカ</v>
          </cell>
        </row>
        <row r="217">
          <cell r="A217" t="str">
            <v>A20426</v>
          </cell>
          <cell r="B217" t="str">
            <v>アルティメイド25号　ｺｯﾄﾝｷｬﾝﾃﾞｨ</v>
          </cell>
        </row>
        <row r="218">
          <cell r="A218" t="str">
            <v>A20427</v>
          </cell>
          <cell r="B218" t="str">
            <v>アルティメイド25号　ムラサキピンク</v>
          </cell>
        </row>
        <row r="219">
          <cell r="A219" t="str">
            <v>A20428</v>
          </cell>
          <cell r="B219" t="str">
            <v>アルティメイド25号　チャートイエロー</v>
          </cell>
        </row>
        <row r="220">
          <cell r="A220" t="str">
            <v>A20430</v>
          </cell>
          <cell r="B220" t="str">
            <v>光略ｶｽﾀﾑｼﾝｶｰﾅﾂﾒ型 25号 ﾋﾟｰﾁｸﾞﾛｰ</v>
          </cell>
        </row>
        <row r="221">
          <cell r="A221" t="str">
            <v>A20431</v>
          </cell>
          <cell r="B221" t="str">
            <v>光略ｶｽﾀﾑｼﾝｶｰﾅﾂﾒ型 25号 ｱｶｷﾝﾗﾒ</v>
          </cell>
        </row>
        <row r="222">
          <cell r="A222" t="str">
            <v>A20432</v>
          </cell>
          <cell r="B222" t="str">
            <v>光略ｶｽﾀﾑｼﾝｶｰﾅﾂﾒ型 25号 ｹｲﾑﾗﾊﾟｰﾙ</v>
          </cell>
        </row>
        <row r="223">
          <cell r="A223" t="str">
            <v>A20433</v>
          </cell>
          <cell r="B223" t="str">
            <v>光略ｶｽﾀﾑｼﾝｶｰﾅﾂﾒ型 25号 ﾈｵﾝｵﾚﾝｼﾞ</v>
          </cell>
        </row>
        <row r="224">
          <cell r="A224" t="str">
            <v>A20434</v>
          </cell>
          <cell r="B224" t="str">
            <v>光略ｶｽﾀﾑｼﾝｶｰﾅﾂﾒ型 25号 ﾈｵﾝｲｴﾛｰ</v>
          </cell>
        </row>
        <row r="225">
          <cell r="A225" t="str">
            <v>A20435</v>
          </cell>
          <cell r="B225" t="str">
            <v>光略ｶｽﾀﾑｼﾝｶｰﾅﾂﾒ型 30号 ﾋﾟｰﾁｸﾞﾛｰ</v>
          </cell>
        </row>
        <row r="226">
          <cell r="A226" t="str">
            <v>A20436</v>
          </cell>
          <cell r="B226" t="str">
            <v>光略ｶｽﾀﾑｼﾝｶｰﾅﾂﾒ型 30号 ｱｶｷﾝﾗﾒ</v>
          </cell>
        </row>
        <row r="227">
          <cell r="A227" t="str">
            <v>A20437</v>
          </cell>
          <cell r="B227" t="str">
            <v>光略ｶｽﾀﾑｼﾝｶｰﾅﾂﾒ型 30号 ｹｲﾑﾗﾊﾟｰﾙ</v>
          </cell>
        </row>
        <row r="228">
          <cell r="A228" t="str">
            <v>A20438</v>
          </cell>
          <cell r="B228" t="str">
            <v>光略ｶｽﾀﾑｼﾝｶｰﾅﾂﾒ型 30号 ﾈｵﾝｵﾚﾝｼﾞ</v>
          </cell>
        </row>
        <row r="229">
          <cell r="A229" t="str">
            <v>A20439</v>
          </cell>
          <cell r="B229" t="str">
            <v>光略ｶｽﾀﾑｼﾝｶｰﾅﾂﾒ型 30号 ﾈｵﾝｲｴﾛｰ</v>
          </cell>
        </row>
        <row r="230">
          <cell r="A230" t="str">
            <v>A20440</v>
          </cell>
          <cell r="B230" t="str">
            <v>光略ｶｽﾀﾑｼﾝｶｰﾅﾂﾒ型 40号 ﾋﾟｰﾁｸﾞﾛｰ</v>
          </cell>
        </row>
        <row r="231">
          <cell r="A231" t="str">
            <v>A20441</v>
          </cell>
          <cell r="B231" t="str">
            <v>光略ｶｽﾀﾑｼﾝｶｰﾅﾂﾒ型 40号 ｱｶｷﾝﾗﾒ</v>
          </cell>
        </row>
        <row r="232">
          <cell r="A232" t="str">
            <v>A20442</v>
          </cell>
          <cell r="B232" t="str">
            <v>光略ｶｽﾀﾑｼﾝｶｰﾅﾂﾒ型 40号 ｹｲﾑﾗﾊﾟｰﾙ</v>
          </cell>
        </row>
        <row r="233">
          <cell r="A233" t="str">
            <v>A20443</v>
          </cell>
          <cell r="B233" t="str">
            <v>光略ｶｽﾀﾑｼﾝｶｰﾅﾂﾒ型 40号 ﾈｵﾝｵﾚﾝｼﾞ</v>
          </cell>
        </row>
        <row r="234">
          <cell r="A234" t="str">
            <v>A20444</v>
          </cell>
          <cell r="B234" t="str">
            <v>光略ｶｽﾀﾑｼﾝｶｰﾅﾂﾒ型 40号 ﾈｵﾝｲｴﾛｰ</v>
          </cell>
        </row>
        <row r="235">
          <cell r="A235" t="str">
            <v>A20601</v>
          </cell>
          <cell r="B235" t="str">
            <v>絡み防止ガイド</v>
          </cell>
        </row>
        <row r="236">
          <cell r="A236" t="str">
            <v>A20602</v>
          </cell>
          <cell r="B236" t="str">
            <v>水中集魚ライト専用スナップ　Ｓ</v>
          </cell>
        </row>
        <row r="237">
          <cell r="A237" t="str">
            <v>A20603</v>
          </cell>
          <cell r="B237" t="str">
            <v>水中集魚ライト専用スナップ　Ｍ</v>
          </cell>
        </row>
        <row r="238">
          <cell r="A238" t="str">
            <v>A20604</v>
          </cell>
          <cell r="B238" t="str">
            <v>レベルワインダー･ガイド通し オレンジ</v>
          </cell>
        </row>
        <row r="239">
          <cell r="A239" t="str">
            <v>A20605</v>
          </cell>
          <cell r="B239" t="str">
            <v>レベルワインダー･ガイド通し グリーン</v>
          </cell>
        </row>
        <row r="240">
          <cell r="A240" t="str">
            <v>A20616</v>
          </cell>
          <cell r="B240" t="str">
            <v>レベルワインダー･ガイド通し ナロータイプ</v>
          </cell>
        </row>
        <row r="241">
          <cell r="A241" t="str">
            <v>A20612</v>
          </cell>
          <cell r="B241" t="str">
            <v>ケミホタルペイント</v>
          </cell>
        </row>
        <row r="242">
          <cell r="A242" t="str">
            <v>A20613</v>
          </cell>
          <cell r="B242" t="str">
            <v>ｹﾐﾁｭｰ ｹﾐﾁｭｰﾜｰﾑ 4ｲﾝﾁ ｸﾘｱﾗﾒ</v>
          </cell>
        </row>
        <row r="243">
          <cell r="A243" t="str">
            <v>A20614</v>
          </cell>
          <cell r="B243" t="str">
            <v>ｹﾐﾁｭｰ ｹﾐﾁｭｰﾜｰﾑ 4ｲﾝﾁ ｸﾘｱﾋﾟﾝｸ</v>
          </cell>
        </row>
        <row r="244">
          <cell r="A244" t="str">
            <v>A20615</v>
          </cell>
          <cell r="B244" t="str">
            <v>ｹﾐﾁｭｰ ｹﾐﾁｭｰﾜｰﾑ 4ｲﾝﾁ ｹｲﾑﾗｸﾘｱ</v>
          </cell>
        </row>
        <row r="245">
          <cell r="A245" t="str">
            <v>A20617</v>
          </cell>
          <cell r="B245" t="str">
            <v>ﾜﾝﾀｯﾁｴｻ巻きﾃｰﾗｰ 3号(鉛なし)</v>
          </cell>
        </row>
        <row r="246">
          <cell r="A246" t="str">
            <v>A20618</v>
          </cell>
          <cell r="B246" t="str">
            <v>ﾜﾝﾀｯﾁｴｻ巻きﾃｰﾗｰ 4号(鉛1号使用)</v>
          </cell>
        </row>
        <row r="247">
          <cell r="A247" t="str">
            <v>A20619</v>
          </cell>
          <cell r="B247" t="str">
            <v>ﾜﾝﾀｯﾁｴｻ巻きﾃｰﾗｰ 5号(鉛2号使用)</v>
          </cell>
        </row>
        <row r="248">
          <cell r="A248" t="str">
            <v>A20906</v>
          </cell>
          <cell r="B248" t="str">
            <v>烈光　Ａｔｙｐｅ　３号　レッド</v>
          </cell>
        </row>
        <row r="249">
          <cell r="A249" t="str">
            <v>A20910</v>
          </cell>
          <cell r="B249" t="str">
            <v>烈光　Ａｔｙｐｅ　５号　レッド</v>
          </cell>
        </row>
        <row r="250">
          <cell r="A250" t="str">
            <v>A20914</v>
          </cell>
          <cell r="B250" t="str">
            <v>烈光　Ｂｔｙｐｅ　２号　レッド</v>
          </cell>
        </row>
        <row r="251">
          <cell r="A251" t="str">
            <v>A20915</v>
          </cell>
          <cell r="B251" t="str">
            <v>烈光　Ｂｔｙｐｅ　２号　グリーン</v>
          </cell>
        </row>
        <row r="252">
          <cell r="A252" t="str">
            <v>A20916</v>
          </cell>
          <cell r="B252" t="str">
            <v>烈光　Ｂｔｙｐｅ　２号　ホワイト</v>
          </cell>
        </row>
        <row r="253">
          <cell r="A253" t="str">
            <v>A20922</v>
          </cell>
          <cell r="B253" t="str">
            <v>烈光　Ｂｔｙｐｅ　５号　レッド</v>
          </cell>
        </row>
        <row r="254">
          <cell r="A254" t="str">
            <v>A20923</v>
          </cell>
          <cell r="B254" t="str">
            <v>烈光　Ｂｔｙｐｅ　５号　グリーン</v>
          </cell>
        </row>
        <row r="255">
          <cell r="A255" t="str">
            <v>A20926</v>
          </cell>
          <cell r="B255" t="str">
            <v>烈光太刀魚ウキ仕掛セットＡ　２号ｸﾞﾘｰﾝ</v>
          </cell>
        </row>
        <row r="256">
          <cell r="A256" t="str">
            <v>A20929</v>
          </cell>
          <cell r="B256" t="str">
            <v>烈光太刀魚ウキ仕掛セットＢ　２号ｸﾞﾘｰﾝ</v>
          </cell>
        </row>
        <row r="257">
          <cell r="A257" t="str">
            <v>A20934</v>
          </cell>
          <cell r="B257" t="str">
            <v>烈光 Atype 3号 ピンク</v>
          </cell>
        </row>
        <row r="258">
          <cell r="A258" t="str">
            <v>A20937</v>
          </cell>
          <cell r="B258" t="str">
            <v>烈光 Atype 5号 イエロー</v>
          </cell>
        </row>
        <row r="259">
          <cell r="A259" t="str">
            <v>A20939</v>
          </cell>
          <cell r="B259" t="str">
            <v>烈光 Btype 2号 イエロー</v>
          </cell>
        </row>
        <row r="260">
          <cell r="A260" t="str">
            <v>A20943</v>
          </cell>
          <cell r="B260" t="str">
            <v>烈光 Btype 5号 イエロー</v>
          </cell>
        </row>
        <row r="261">
          <cell r="A261" t="str">
            <v>A20947</v>
          </cell>
          <cell r="B261" t="str">
            <v>烈光太刀魚ｳｷ仕掛ｾｯﾄＡ 2号ﾚｯﾄﾞ</v>
          </cell>
        </row>
        <row r="262">
          <cell r="A262" t="str">
            <v>A20948</v>
          </cell>
          <cell r="B262" t="str">
            <v>烈光太刀魚ｳｷ仕掛ｾｯﾄＡ 3号ﾚｯﾄﾞ</v>
          </cell>
        </row>
        <row r="263">
          <cell r="A263" t="str">
            <v>A20949</v>
          </cell>
          <cell r="B263" t="str">
            <v>烈光太刀魚ｳｷ仕掛ｾｯﾄＡ 5号ﾚｯﾄﾞ</v>
          </cell>
        </row>
        <row r="264">
          <cell r="A264" t="str">
            <v>A20950</v>
          </cell>
          <cell r="B264" t="str">
            <v>烈光太刀魚ｳｷ仕掛ｾｯﾄＢ 2号ﾚｯﾄﾞ</v>
          </cell>
        </row>
        <row r="265">
          <cell r="A265" t="str">
            <v>A20952</v>
          </cell>
          <cell r="B265" t="str">
            <v>烈光太刀魚ｳｷ仕掛ｾｯﾄＢ 5号ﾚｯﾄﾞ</v>
          </cell>
        </row>
        <row r="266">
          <cell r="A266" t="str">
            <v>A20959</v>
          </cell>
          <cell r="B266" t="str">
            <v>烈光　遠投ｔｙｐｅ　12号　グリーン</v>
          </cell>
        </row>
        <row r="267">
          <cell r="A267" t="str">
            <v>A20960</v>
          </cell>
          <cell r="B267" t="str">
            <v>烈光　遠投ｔｙｐｅ　12号　ピンク</v>
          </cell>
        </row>
        <row r="268">
          <cell r="A268" t="str">
            <v>A20961</v>
          </cell>
          <cell r="B268" t="str">
            <v>烈光　遠投ｔｙｐｅ　12号　オレンジ</v>
          </cell>
        </row>
        <row r="269">
          <cell r="A269" t="str">
            <v>A20962</v>
          </cell>
          <cell r="B269" t="str">
            <v>烈光　遠投ｔｙｐｅ　15号　グリーン</v>
          </cell>
        </row>
        <row r="270">
          <cell r="A270" t="str">
            <v>A20963</v>
          </cell>
          <cell r="B270" t="str">
            <v>烈光　遠投ｔｙｐｅ　15号　ピンク</v>
          </cell>
        </row>
        <row r="271">
          <cell r="A271" t="str">
            <v>A20964</v>
          </cell>
          <cell r="B271" t="str">
            <v>烈光　遠投ｔｙｐｅ　15号　オレンジ</v>
          </cell>
        </row>
        <row r="272">
          <cell r="A272" t="str">
            <v>A21031</v>
          </cell>
          <cell r="B272" t="str">
            <v>LR44（4個セット）</v>
          </cell>
        </row>
        <row r="273">
          <cell r="A273" t="str">
            <v>A21047</v>
          </cell>
          <cell r="B273" t="str">
            <v>Xtrada X8 ﾏﾙﾁﾗｲﾄ</v>
          </cell>
        </row>
        <row r="274">
          <cell r="A274" t="str">
            <v>A21073</v>
          </cell>
          <cell r="B274" t="str">
            <v>ﾁｬｯﾌﾟ ｵﾝ 0.5号 ﾚｯﾄﾞ</v>
          </cell>
        </row>
        <row r="275">
          <cell r="A275" t="str">
            <v>A21074</v>
          </cell>
          <cell r="B275" t="str">
            <v>ﾁｬｯﾌﾟ ｵﾝ 0.5号 ｸﾞﾘｰﾝ</v>
          </cell>
        </row>
        <row r="276">
          <cell r="A276" t="str">
            <v>A21075</v>
          </cell>
          <cell r="B276" t="str">
            <v>ﾁｬｯﾌﾟ ｵﾝ 1号 ﾚｯﾄﾞ</v>
          </cell>
        </row>
        <row r="277">
          <cell r="A277" t="str">
            <v>A21076</v>
          </cell>
          <cell r="B277" t="str">
            <v>ﾁｬｯﾌﾟ ｵﾝ 1号 ｸﾞﾘｰﾝ</v>
          </cell>
        </row>
        <row r="278">
          <cell r="A278" t="str">
            <v>A21065</v>
          </cell>
          <cell r="B278" t="str">
            <v>チャップオンななめⅡ ０(ｾﾞﾛ) ｸﾞﾘｰﾝ</v>
          </cell>
        </row>
        <row r="279">
          <cell r="A279" t="str">
            <v>A21066</v>
          </cell>
          <cell r="B279" t="str">
            <v>チャップオンななめⅡ ０(ｾﾞﾛ) ﾋﾟﾝｸ</v>
          </cell>
        </row>
        <row r="280">
          <cell r="A280" t="str">
            <v>A21067</v>
          </cell>
          <cell r="B280" t="str">
            <v>チャップオンななめⅡ Ｂ ｸﾞﾘｰﾝ</v>
          </cell>
        </row>
        <row r="281">
          <cell r="A281" t="str">
            <v>A21068</v>
          </cell>
          <cell r="B281" t="str">
            <v>チャップオンななめⅡ Ｂ ﾋﾟﾝｸ</v>
          </cell>
        </row>
        <row r="282">
          <cell r="A282" t="str">
            <v>A21069</v>
          </cell>
          <cell r="B282" t="str">
            <v>チャップオンななめⅡ ３Ｂ ｸﾞﾘｰﾝ</v>
          </cell>
        </row>
        <row r="283">
          <cell r="A283" t="str">
            <v>A21070</v>
          </cell>
          <cell r="B283" t="str">
            <v>チャップオンななめⅡ ３Ｂ ﾋﾟﾝｸ</v>
          </cell>
        </row>
        <row r="284">
          <cell r="A284" t="str">
            <v>A21088</v>
          </cell>
          <cell r="B284" t="str">
            <v>堤防五目ｳｷ釣りｾｯﾄ 2号 ｸﾞﾘｰﾝ</v>
          </cell>
        </row>
        <row r="285">
          <cell r="A285" t="str">
            <v>A21089</v>
          </cell>
          <cell r="B285" t="str">
            <v>堤防五目ｳｷ釣りｾｯﾄ 3号 ｸﾞﾘｰﾝ</v>
          </cell>
        </row>
        <row r="286">
          <cell r="A286" t="str">
            <v>A21090</v>
          </cell>
          <cell r="B286" t="str">
            <v>堤防五目ｳｷ釣りｾｯﾄ 5号 ｸﾞﾘｰﾝ</v>
          </cell>
        </row>
        <row r="287">
          <cell r="A287" t="str">
            <v>A21091</v>
          </cell>
          <cell r="B287" t="str">
            <v>堤防五目ｳｷ釣りｾｯﾄ 2号 ﾚｯﾄﾞ</v>
          </cell>
        </row>
        <row r="288">
          <cell r="A288" t="str">
            <v>A21092</v>
          </cell>
          <cell r="B288" t="str">
            <v>堤防五目ｳｷ釣りｾｯﾄ 3号 ﾚｯﾄﾞ</v>
          </cell>
        </row>
        <row r="289">
          <cell r="A289" t="str">
            <v>A21093</v>
          </cell>
          <cell r="B289" t="str">
            <v>堤防五目ｳｷ釣りｾｯﾄ 5号 ﾚｯﾄﾞ</v>
          </cell>
        </row>
        <row r="290">
          <cell r="A290" t="str">
            <v>A21101</v>
          </cell>
          <cell r="B290" t="str">
            <v>ルミコワンタッチホルダー</v>
          </cell>
        </row>
        <row r="291">
          <cell r="A291" t="str">
            <v>A21103</v>
          </cell>
          <cell r="B291" t="str">
            <v>ﾊﾟﾜｰ太刀魚75用 ﾜﾝﾀｯﾁﾎﾙﾀﾞｰ5個ｾｯﾄ</v>
          </cell>
        </row>
        <row r="292">
          <cell r="A292" t="str">
            <v>A21602</v>
          </cell>
          <cell r="B292" t="str">
            <v>ピカピカドンドン７５（本体のみ）</v>
          </cell>
        </row>
        <row r="293">
          <cell r="A293" t="str">
            <v>A21802</v>
          </cell>
          <cell r="B293" t="str">
            <v>ルアーライト25　ブルー</v>
          </cell>
        </row>
        <row r="294">
          <cell r="A294" t="str">
            <v>A21803</v>
          </cell>
          <cell r="B294" t="str">
            <v>ルアーライト25　ピンク</v>
          </cell>
        </row>
        <row r="295">
          <cell r="A295" t="str">
            <v>A21813</v>
          </cell>
          <cell r="B295" t="str">
            <v>ルアーライト37　ピンク</v>
          </cell>
        </row>
        <row r="296">
          <cell r="A296" t="str">
            <v>A21842</v>
          </cell>
          <cell r="B296" t="str">
            <v>ﾒﾀﾙｼﾞｬｯｶｰ(ﾀﾁｳｵ) 20g まんまｷﾋﾞﾅｺﾞ</v>
          </cell>
        </row>
        <row r="297">
          <cell r="A297" t="str">
            <v>A21843</v>
          </cell>
          <cell r="B297" t="str">
            <v>ﾒﾀﾙｼﾞｬｯｶｰ(ﾀﾁｳｵ) 20g ｼﾙﾊﾞｰｽﾗｯｼｭ</v>
          </cell>
        </row>
        <row r="298">
          <cell r="A298" t="str">
            <v>A21844</v>
          </cell>
          <cell r="B298" t="str">
            <v>ﾒﾀﾙｼﾞｬｯｶｰ(ﾀﾁｳｵ) 20g ﾋﾟﾝｸｽﾗｯｼｭ</v>
          </cell>
        </row>
        <row r="299">
          <cell r="A299" t="str">
            <v>A21845</v>
          </cell>
          <cell r="B299" t="str">
            <v>ﾒﾀﾙｼﾞｬｯｶｰ(ﾀﾁｳｵ) 20g ﾊﾟｰﾌﾟﾙｽﾗｯｼｭ</v>
          </cell>
        </row>
        <row r="300">
          <cell r="A300" t="str">
            <v>A21846</v>
          </cell>
          <cell r="B300" t="str">
            <v>ﾒﾀﾙｼﾞｬｯｶｰ(ﾀﾁｳｵ) 20g ｸﾞﾛｰｸﾞﾛｰ</v>
          </cell>
        </row>
        <row r="301">
          <cell r="A301" t="str">
            <v>A21847</v>
          </cell>
          <cell r="B301" t="str">
            <v>ﾒﾀﾙｼﾞｬｯｶｰ(ﾀﾁｳｵ) 30g まんまｷﾋﾞﾅｺﾞ</v>
          </cell>
        </row>
        <row r="302">
          <cell r="A302" t="str">
            <v>A21848</v>
          </cell>
          <cell r="B302" t="str">
            <v>ﾒﾀﾙｼﾞｬｯｶｰ(ﾀﾁｳｵ) 30g ｼﾙﾊﾞｰｽﾗｯｼｭ</v>
          </cell>
        </row>
        <row r="303">
          <cell r="A303" t="str">
            <v>A21849</v>
          </cell>
          <cell r="B303" t="str">
            <v>ﾒﾀﾙｼﾞｬｯｶｰ(ﾀﾁｳｵ) 30g ﾋﾟﾝｸｽﾗｯｼｭ</v>
          </cell>
        </row>
        <row r="304">
          <cell r="A304" t="str">
            <v>A21851</v>
          </cell>
          <cell r="B304" t="str">
            <v>ﾒﾀﾙｼﾞｬｯｶｰ(ﾀﾁｳｵ) 30g ｸﾞﾛｰｸﾞﾛｰ</v>
          </cell>
        </row>
        <row r="305">
          <cell r="A305" t="str">
            <v>A21901</v>
          </cell>
          <cell r="B305" t="str">
            <v>ﾒﾀﾙｼﾞｬｯｶｰ CJ 21g ｷﾞﾗｷﾞﾗｲﾜｼ</v>
          </cell>
        </row>
        <row r="306">
          <cell r="A306" t="str">
            <v>A21902</v>
          </cell>
          <cell r="B306" t="str">
            <v>ﾒﾀﾙｼﾞｬｯｶｰ CJ 21g ﾋﾟﾝｸｲﾜｼ</v>
          </cell>
        </row>
        <row r="307">
          <cell r="A307" t="str">
            <v>A21903</v>
          </cell>
          <cell r="B307" t="str">
            <v>ﾒﾀﾙｼﾞｬｯｶｰ CJ 21g ﾌﾞﾙﾋﾟﾝｽﾗｯｼｭ</v>
          </cell>
        </row>
        <row r="308">
          <cell r="A308" t="str">
            <v>A21904</v>
          </cell>
          <cell r="B308" t="str">
            <v>ﾒﾀﾙｼﾞｬｯｶｰ CJ 21g ｺｯﾄﾝｷｬﾝﾃﾞｨ</v>
          </cell>
        </row>
        <row r="309">
          <cell r="A309" t="str">
            <v>A21905</v>
          </cell>
          <cell r="B309" t="str">
            <v>ﾒﾀﾙｼﾞｬｯｶｰ CJ 21g ｱｶｷﾝﾀｲｶﾞｰ</v>
          </cell>
        </row>
        <row r="310">
          <cell r="A310" t="str">
            <v>A21906</v>
          </cell>
          <cell r="B310" t="str">
            <v>ﾒﾀﾙｼﾞｬｯｶｰ CJ 21g ﾏﾋﾏﾋ</v>
          </cell>
        </row>
        <row r="311">
          <cell r="A311" t="str">
            <v>A21907</v>
          </cell>
          <cell r="B311" t="str">
            <v>ﾒﾀﾙｼﾞｬｯｶｰ CJ 21g ﾌﾙﾚｯﾄﾞ</v>
          </cell>
        </row>
        <row r="312">
          <cell r="A312" t="str">
            <v>A21908</v>
          </cell>
          <cell r="B312" t="str">
            <v>ﾒﾀﾙｼﾞｬｯｶｰ CJ 21g ｼﾙﾊﾞｰｽﾗｯｼｭ</v>
          </cell>
        </row>
        <row r="313">
          <cell r="A313" t="str">
            <v>A21909</v>
          </cell>
          <cell r="B313" t="str">
            <v>ﾒﾀﾙｼﾞｬｯｶｰ CJ 21g ﾋﾟﾝｸｽﾗｯｼｭ</v>
          </cell>
        </row>
        <row r="314">
          <cell r="A314" t="str">
            <v>A21910</v>
          </cell>
          <cell r="B314" t="str">
            <v>ﾒﾀﾙｼﾞｬｯｶｰ CJ 21g ﾊﾟｰﾌﾟﾙｽﾗｯｼｭ</v>
          </cell>
        </row>
        <row r="315">
          <cell r="A315" t="str">
            <v>A21911</v>
          </cell>
          <cell r="B315" t="str">
            <v>ﾒﾀﾙｼﾞｬｯｶｰ CJ 21g ｸﾞﾛｰｸﾞﾛｰ</v>
          </cell>
        </row>
        <row r="316">
          <cell r="A316" t="str">
            <v>A21912</v>
          </cell>
          <cell r="B316" t="str">
            <v>ﾒﾀﾙｼﾞｬｯｶｰ CJ 28g ｷﾞﾗｷﾞﾗｲﾜｼ</v>
          </cell>
        </row>
        <row r="317">
          <cell r="A317" t="str">
            <v>A21913</v>
          </cell>
          <cell r="B317" t="str">
            <v>ﾒﾀﾙｼﾞｬｯｶｰ CJ 28g ﾋﾟﾝｸｲﾜｼ</v>
          </cell>
        </row>
        <row r="318">
          <cell r="A318" t="str">
            <v>A21914</v>
          </cell>
          <cell r="B318" t="str">
            <v>ﾒﾀﾙｼﾞｬｯｶｰ CJ 28g ﾌﾞﾙﾋﾟﾝｽﾗｯｼｭ</v>
          </cell>
        </row>
        <row r="319">
          <cell r="A319" t="str">
            <v>A21915</v>
          </cell>
          <cell r="B319" t="str">
            <v>ﾒﾀﾙｼﾞｬｯｶｰ CJ 28g ｺｯﾄﾝｷｬﾝﾃﾞｨ</v>
          </cell>
        </row>
        <row r="320">
          <cell r="A320" t="str">
            <v>A21916</v>
          </cell>
          <cell r="B320" t="str">
            <v>ﾒﾀﾙｼﾞｬｯｶｰ CJ 28g ｱｶｷﾝﾀｲｶﾞｰ</v>
          </cell>
        </row>
        <row r="321">
          <cell r="A321" t="str">
            <v>A21917</v>
          </cell>
          <cell r="B321" t="str">
            <v>ﾒﾀﾙｼﾞｬｯｶｰ CJ 28g ﾏﾋﾏﾋ</v>
          </cell>
        </row>
        <row r="322">
          <cell r="A322" t="str">
            <v>A21918</v>
          </cell>
          <cell r="B322" t="str">
            <v>ﾒﾀﾙｼﾞｬｯｶｰ CJ 28g ﾌﾙﾚｯﾄﾞ</v>
          </cell>
        </row>
        <row r="323">
          <cell r="A323" t="str">
            <v>A21919</v>
          </cell>
          <cell r="B323" t="str">
            <v>ﾒﾀﾙｼﾞｬｯｶｰ CJ 28g ｼﾙﾊﾞｰｽﾗｯｼｭ</v>
          </cell>
        </row>
        <row r="324">
          <cell r="A324" t="str">
            <v>A21920</v>
          </cell>
          <cell r="B324" t="str">
            <v>ﾒﾀﾙｼﾞｬｯｶｰ CJ 28g ﾋﾟﾝｸｽﾗｯｼｭ</v>
          </cell>
        </row>
        <row r="325">
          <cell r="A325" t="str">
            <v>A21921</v>
          </cell>
          <cell r="B325" t="str">
            <v>ﾒﾀﾙｼﾞｬｯｶｰ CJ 28g ﾊﾟｰﾌﾟﾙｽﾗｯｼｭ</v>
          </cell>
        </row>
        <row r="326">
          <cell r="A326" t="str">
            <v>A21922</v>
          </cell>
          <cell r="B326" t="str">
            <v>ﾒﾀﾙｼﾞｬｯｶｰ CJ 28g ｸﾞﾛｰｸﾞﾛｰ</v>
          </cell>
        </row>
        <row r="327">
          <cell r="A327" t="str">
            <v>A23805</v>
          </cell>
          <cell r="B327" t="str">
            <v>業務用ルミコレッド</v>
          </cell>
        </row>
        <row r="328">
          <cell r="A328" t="str">
            <v>A23807</v>
          </cell>
          <cell r="B328" t="str">
            <v>業務用ｹﾐﾎﾙﾀﾞｰ(500入) ﾗｲﾑｸﾞﾘｰﾝ</v>
          </cell>
        </row>
        <row r="329">
          <cell r="A329" t="str">
            <v>A23808</v>
          </cell>
          <cell r="B329" t="str">
            <v>業務用ｹﾐﾎﾙﾀﾞｰ(500入) ﾋﾟｭｱﾎﾜｲﾄ</v>
          </cell>
        </row>
        <row r="330">
          <cell r="A330" t="str">
            <v>A23809</v>
          </cell>
          <cell r="B330" t="str">
            <v>業務用ｹﾐﾎﾙﾀﾞｰ(500入) ﾊﾟｯｼｮﾝｵﾚﾝｼﾞ</v>
          </cell>
        </row>
        <row r="331">
          <cell r="A331" t="str">
            <v>A23810</v>
          </cell>
          <cell r="B331" t="str">
            <v>業務用ｹﾐﾁｭｰﾝﾜｲﾝﾄﾞｸﾞﾘｰﾝ(500入)</v>
          </cell>
        </row>
        <row r="332">
          <cell r="A332" t="str">
            <v>A23811</v>
          </cell>
          <cell r="B332" t="str">
            <v>業務用ヤエンホタル(500入)</v>
          </cell>
        </row>
        <row r="333">
          <cell r="A333" t="str">
            <v>A23814</v>
          </cell>
          <cell r="B333" t="str">
            <v>業務用ケミバンド37（S） 100個入</v>
          </cell>
        </row>
        <row r="334">
          <cell r="A334" t="str">
            <v>A23815</v>
          </cell>
          <cell r="B334" t="str">
            <v>業務用ﾌﾟﾆｲｶXｳｨﾝｸﾞ(ｹｲﾑﾗｲｴﾛｰ)</v>
          </cell>
        </row>
        <row r="335">
          <cell r="A335" t="str">
            <v>A23816</v>
          </cell>
          <cell r="B335" t="str">
            <v>業務用ﾌﾟﾆｲｶXｳｨﾝｸﾞｹｲﾑﾗｸﾘｱ</v>
          </cell>
        </row>
        <row r="336">
          <cell r="A336" t="str">
            <v>A23817</v>
          </cell>
          <cell r="B336" t="str">
            <v>業務用ﾌﾟﾆｲｶXｳｨﾝｸﾞｹｲﾑﾗｵﾚﾝｼﾞ</v>
          </cell>
        </row>
        <row r="337">
          <cell r="A337" t="str">
            <v>A23818</v>
          </cell>
          <cell r="B337" t="str">
            <v>業務用ﾌﾟﾆｲｶXｳｨﾝｸﾞｹｲﾑﾗﾋﾟﾝｸ</v>
          </cell>
        </row>
        <row r="338">
          <cell r="A338" t="str">
            <v>A23819</v>
          </cell>
          <cell r="B338" t="str">
            <v>業務用ﾌﾟﾆｲｶXｳｨﾝｸﾞｹｲﾑﾗｲﾜｼ</v>
          </cell>
        </row>
        <row r="339">
          <cell r="A339" t="str">
            <v>A23820</v>
          </cell>
          <cell r="B339" t="str">
            <v>業務用ﾌﾟﾆｲｶXｳｨﾝｸﾞ血管</v>
          </cell>
        </row>
        <row r="340">
          <cell r="A340" t="str">
            <v>A25302</v>
          </cell>
          <cell r="B340" t="str">
            <v>ケミブライトフック　金マダイ　１０号</v>
          </cell>
        </row>
        <row r="341">
          <cell r="A341" t="str">
            <v>A25306</v>
          </cell>
          <cell r="B341" t="str">
            <v>ケミブライトフック　金マダイ　７号</v>
          </cell>
        </row>
        <row r="342">
          <cell r="A342" t="str">
            <v>A25401</v>
          </cell>
          <cell r="B342" t="str">
            <v>ケミブライトフック　金チヌ　１号</v>
          </cell>
        </row>
        <row r="343">
          <cell r="A343" t="str">
            <v>A25402</v>
          </cell>
          <cell r="B343" t="str">
            <v>ケミブライトフック　金チヌ　２号</v>
          </cell>
        </row>
        <row r="344">
          <cell r="A344" t="str">
            <v>A25405</v>
          </cell>
          <cell r="B344" t="str">
            <v>ケミブライトフック　金チヌ　５号</v>
          </cell>
        </row>
        <row r="345">
          <cell r="A345" t="str">
            <v>A70031</v>
          </cell>
          <cell r="B345" t="str">
            <v>F.MAX夜寄るｻﾋﾞｷｾｯﾄﾋﾟﾝｸｽｷﾝ4号</v>
          </cell>
        </row>
        <row r="346">
          <cell r="A346" t="str">
            <v>A70032</v>
          </cell>
          <cell r="B346" t="str">
            <v>F.MAX夜寄るｻﾋﾞｷｾｯﾄﾋﾟﾝｸｽｷﾝ5号</v>
          </cell>
        </row>
        <row r="347">
          <cell r="A347" t="str">
            <v>A70033</v>
          </cell>
          <cell r="B347" t="str">
            <v>F.MAX夜寄るｻﾋﾞｷｾｯﾄﾋﾟﾝｸｽｷﾝ6号</v>
          </cell>
        </row>
        <row r="348">
          <cell r="A348" t="str">
            <v>A70034</v>
          </cell>
          <cell r="B348" t="str">
            <v>F.MAX夜寄るｻﾋﾞｷｾｯﾄﾋﾟﾝｸｽｷﾝ3号</v>
          </cell>
        </row>
        <row r="349">
          <cell r="A349" t="str">
            <v>A70035</v>
          </cell>
          <cell r="B349" t="str">
            <v>F.MAX夜寄るｻﾋﾞｷJr.3号</v>
          </cell>
        </row>
        <row r="350">
          <cell r="A350" t="str">
            <v>A70036</v>
          </cell>
          <cell r="B350" t="str">
            <v>F.MAX夜寄るｻﾋﾞｷJr.4号</v>
          </cell>
        </row>
        <row r="351">
          <cell r="A351" t="str">
            <v>A70037</v>
          </cell>
          <cell r="B351" t="str">
            <v>F.MAX夜寄るｻﾋﾞｷJr.5号</v>
          </cell>
        </row>
        <row r="352">
          <cell r="A352" t="str">
            <v>A70038</v>
          </cell>
          <cell r="B352" t="str">
            <v>F.MAX夜寄る飛ばしｻﾋﾞｷｾｯﾄ10号【中】</v>
          </cell>
        </row>
        <row r="353">
          <cell r="A353" t="str">
            <v>A70041</v>
          </cell>
          <cell r="B353" t="str">
            <v>F.MAX夜寄る飛ばしｻﾋﾞｷｾｯﾄ12号【大】</v>
          </cell>
        </row>
        <row r="354">
          <cell r="A354" t="str">
            <v>A70049</v>
          </cell>
          <cell r="B354" t="str">
            <v>F.MAX太刀魚仕掛ｾｯﾄ烈光 ﾋﾟﾝｸ2号</v>
          </cell>
        </row>
        <row r="355">
          <cell r="A355" t="str">
            <v>A70050</v>
          </cell>
          <cell r="B355" t="str">
            <v>F.MAX太刀魚仕掛ｾｯﾄ烈光 ﾋﾟﾝｸ3号</v>
          </cell>
        </row>
        <row r="356">
          <cell r="A356" t="str">
            <v>A70051</v>
          </cell>
          <cell r="B356" t="str">
            <v>F.MAX太刀魚仕掛ｾｯﾄ烈光 ﾋﾟﾝｸ5号</v>
          </cell>
        </row>
        <row r="357">
          <cell r="A357" t="str">
            <v>A70052</v>
          </cell>
          <cell r="B357" t="str">
            <v>F.MAX夜寄るｻﾋﾞｷﾌﾟﾗｽﾜﾝ 4号</v>
          </cell>
        </row>
        <row r="358">
          <cell r="A358" t="str">
            <v>A70053</v>
          </cell>
          <cell r="B358" t="str">
            <v>F.MAX夜寄るｻﾋﾞｷﾌﾟﾗｽﾜﾝ 5号</v>
          </cell>
        </row>
        <row r="359">
          <cell r="A359" t="str">
            <v>A70054</v>
          </cell>
          <cell r="B359" t="str">
            <v>F.MAX夜寄るｻﾋﾞｷﾌﾟﾗｽﾜﾝ 6号</v>
          </cell>
        </row>
        <row r="360">
          <cell r="A360" t="str">
            <v>A70055</v>
          </cell>
          <cell r="B360" t="str">
            <v>F.MAX太刀魚仕掛ｾｯﾄ 烈光A 2ｶﾗｰ 2号</v>
          </cell>
        </row>
        <row r="361">
          <cell r="A361" t="str">
            <v>A70056</v>
          </cell>
          <cell r="B361" t="str">
            <v>F.MAX太刀魚仕掛ｾｯﾄ 烈光A 2ｶﾗｰ 3号</v>
          </cell>
        </row>
        <row r="362">
          <cell r="A362" t="str">
            <v>A70057</v>
          </cell>
          <cell r="B362" t="str">
            <v>F.MAX太刀魚仕掛ｾｯﾄ 烈光A 2ｶﾗｰ 5号</v>
          </cell>
        </row>
        <row r="363">
          <cell r="A363" t="str">
            <v>A70058</v>
          </cell>
          <cell r="B363" t="str">
            <v>F.MAX太刀魚仕掛ｾｯﾄ 烈光A ﾋﾟﾝｸ 2号</v>
          </cell>
        </row>
        <row r="364">
          <cell r="A364" t="str">
            <v>A70059</v>
          </cell>
          <cell r="B364" t="str">
            <v>F.MAX太刀魚仕掛ｾｯﾄ 烈光A ﾋﾟﾝｸ 3号</v>
          </cell>
        </row>
        <row r="365">
          <cell r="A365" t="str">
            <v>A70060</v>
          </cell>
          <cell r="B365" t="str">
            <v>F.MAX太刀魚仕掛ｾｯﾄ 烈光A ﾋﾟﾝｸ 5号</v>
          </cell>
        </row>
        <row r="366">
          <cell r="A366" t="str">
            <v>A70061</v>
          </cell>
          <cell r="B366" t="str">
            <v>F.MAX夜釣り二刀流ｾｯﾄ3号</v>
          </cell>
        </row>
        <row r="367">
          <cell r="A367" t="str">
            <v>A70062</v>
          </cell>
          <cell r="B367" t="str">
            <v>F.MAX夜釣り二刀流ｾｯﾄ5号</v>
          </cell>
        </row>
        <row r="368">
          <cell r="A368" t="str">
            <v>A70063</v>
          </cell>
          <cell r="B368" t="str">
            <v>F.MAX夜寄るぶっこみｻﾋﾞｷｾｯﾄS</v>
          </cell>
        </row>
        <row r="369">
          <cell r="A369" t="str">
            <v>A70064</v>
          </cell>
          <cell r="B369" t="str">
            <v>F.MAX夜寄るぶっこみｻﾋﾞｷｾｯﾄM</v>
          </cell>
        </row>
        <row r="370">
          <cell r="A370" t="str">
            <v>A70065</v>
          </cell>
          <cell r="B370" t="str">
            <v>F.MAX夜寄るぶっこみｻﾋﾞｷｾｯﾄL</v>
          </cell>
        </row>
        <row r="371">
          <cell r="A371" t="str">
            <v>A70066</v>
          </cell>
          <cell r="B371" t="str">
            <v>F.MAX夜寄るｶｺﾞ天秤ｾｯﾄ8号</v>
          </cell>
        </row>
        <row r="372">
          <cell r="A372" t="str">
            <v>A70067</v>
          </cell>
          <cell r="B372" t="str">
            <v>F.MAX夜寄るｶｺﾞ天秤ｾｯﾄ10号</v>
          </cell>
        </row>
        <row r="373">
          <cell r="A373" t="str">
            <v>A70068</v>
          </cell>
          <cell r="B373" t="str">
            <v>F.MAX夜釣り二刀流セットAW２号</v>
          </cell>
        </row>
        <row r="374">
          <cell r="A374" t="str">
            <v>A70069</v>
          </cell>
          <cell r="B374" t="str">
            <v>F.MAX夜釣り二刀流セットAW３号</v>
          </cell>
        </row>
        <row r="375">
          <cell r="A375" t="str">
            <v>A70070</v>
          </cell>
          <cell r="B375" t="str">
            <v>F.MAX夜釣り二刀流セットAW５号</v>
          </cell>
        </row>
        <row r="376">
          <cell r="A376" t="str">
            <v>A70071</v>
          </cell>
          <cell r="B376" t="str">
            <v>F.MAX夜寄るｻﾋﾞｷキッズ3号</v>
          </cell>
        </row>
        <row r="377">
          <cell r="A377" t="str">
            <v>A70072</v>
          </cell>
          <cell r="B377" t="str">
            <v>F.MAX夜寄るｻﾋﾞｷキッズ4号</v>
          </cell>
        </row>
        <row r="378">
          <cell r="A378" t="str">
            <v>A70073</v>
          </cell>
          <cell r="B378" t="str">
            <v>F.MAX夜寄るｻﾋﾞｷキッズ5号</v>
          </cell>
        </row>
        <row r="379">
          <cell r="A379" t="str">
            <v>A70074</v>
          </cell>
          <cell r="B379" t="str">
            <v>F.MAXｶｺﾞﾏﾀﾞｲ仕掛KTM1 7-2.5</v>
          </cell>
        </row>
        <row r="380">
          <cell r="A380" t="str">
            <v>A70075</v>
          </cell>
          <cell r="B380" t="str">
            <v>F.MAXｶｺﾞﾏﾀﾞｲ仕掛KTM1 8-3</v>
          </cell>
        </row>
        <row r="381">
          <cell r="A381" t="str">
            <v>A70076</v>
          </cell>
          <cell r="B381" t="str">
            <v>F.MAXｶｺﾞﾏﾀﾞｲ仕掛KTM2 7-2.5-2.5</v>
          </cell>
        </row>
        <row r="382">
          <cell r="A382" t="str">
            <v>A70077</v>
          </cell>
          <cell r="B382" t="str">
            <v>F.MAXｶｺﾞﾏﾀﾞｲ仕掛KTM2 8-3-3</v>
          </cell>
        </row>
        <row r="383">
          <cell r="A383" t="str">
            <v>A70078</v>
          </cell>
          <cell r="B383" t="str">
            <v>F.MAXｶｺﾞｸﾞﾚ五目仕掛KTG2 1-1.5-1.5</v>
          </cell>
        </row>
        <row r="384">
          <cell r="A384" t="str">
            <v>A70079</v>
          </cell>
          <cell r="B384" t="str">
            <v>F.MAXｶｺﾞｸﾞﾚ五目仕掛KTG2 1-2-2</v>
          </cell>
        </row>
        <row r="385">
          <cell r="A385" t="str">
            <v>A70080</v>
          </cell>
          <cell r="B385" t="str">
            <v>F.MAXｶｺﾞｸﾞﾚ五目仕掛KTG2S 1-1.5-1.5</v>
          </cell>
        </row>
        <row r="386">
          <cell r="A386" t="str">
            <v>A70081</v>
          </cell>
          <cell r="B386" t="str">
            <v>F.MAXｶｺﾞｸﾞﾚ五目仕掛KTG2S 1-2-2</v>
          </cell>
        </row>
        <row r="387">
          <cell r="A387" t="str">
            <v>A98801</v>
          </cell>
          <cell r="B387" t="str">
            <v>【宇崎日新】中錘式ｼﾝｶｰ ｸﾞﾛｰｾﾞﾌﾞﾗ20号</v>
          </cell>
        </row>
        <row r="388">
          <cell r="A388" t="str">
            <v>A98802</v>
          </cell>
          <cell r="B388" t="str">
            <v>【宇崎日新】中錘式ｼﾝｶｰ ｸﾞﾛｰｾﾞﾌﾞﾗ25号</v>
          </cell>
        </row>
        <row r="389">
          <cell r="A389" t="str">
            <v>A98803</v>
          </cell>
          <cell r="B389" t="str">
            <v>【宇崎日新】中錘式ｼﾝｶｰ ｸﾞﾛｰｾﾞﾌﾞﾗ30号</v>
          </cell>
        </row>
        <row r="390">
          <cell r="A390" t="str">
            <v>A98804</v>
          </cell>
          <cell r="B390" t="str">
            <v>【宇崎日新】中錘式ｼﾝｶｰ ｸﾞﾛｰｾﾞﾌﾞﾗ35号</v>
          </cell>
        </row>
        <row r="391">
          <cell r="A391" t="str">
            <v>A98805</v>
          </cell>
          <cell r="B391" t="str">
            <v>【宇崎日新】中錘式ｼﾝｶｰ ｸﾞﾛｰｾﾞﾌﾞﾗ40号</v>
          </cell>
        </row>
        <row r="392">
          <cell r="A392" t="str">
            <v>A98806</v>
          </cell>
          <cell r="B392" t="str">
            <v>【宇崎日新】中錘式ｼﾝｶｰ ﾓｽｸﾞﾘｰﾝ30号</v>
          </cell>
        </row>
        <row r="393">
          <cell r="A393" t="str">
            <v>A98807</v>
          </cell>
          <cell r="B393" t="str">
            <v>【宇崎日新】中錘式ｼﾝｶｰ ﾓｽｸﾞﾘｰﾝ40号</v>
          </cell>
        </row>
        <row r="394">
          <cell r="A394" t="str">
            <v>A98808</v>
          </cell>
          <cell r="B394" t="str">
            <v>【宇崎日新】中錘式ｼﾝｶｰ 35号 ﾓｽｸﾞﾘｰﾝ</v>
          </cell>
        </row>
        <row r="395">
          <cell r="A395" t="str">
            <v>A98809</v>
          </cell>
          <cell r="B395" t="str">
            <v>【宇崎日新】中錘式ｼﾝｶｰ 20号 ｸﾞﾛｰ</v>
          </cell>
        </row>
        <row r="396">
          <cell r="A396" t="str">
            <v>A98810</v>
          </cell>
          <cell r="B396" t="str">
            <v>【宇崎日新】中錘式ｼﾝｶｰ 25号 ｸﾞﾛｰ</v>
          </cell>
        </row>
        <row r="397">
          <cell r="A397" t="str">
            <v>A98811</v>
          </cell>
          <cell r="B397" t="str">
            <v>【宇崎日新】中錘式ｼﾝｶｰ 30号 ｸﾞﾛｰ</v>
          </cell>
        </row>
        <row r="398">
          <cell r="A398" t="str">
            <v>A98812</v>
          </cell>
          <cell r="B398" t="str">
            <v>【宇崎日新】中錘式ｼﾝｶｰ 35号 ｸﾞﾛｰ</v>
          </cell>
        </row>
        <row r="399">
          <cell r="A399" t="str">
            <v>A98813</v>
          </cell>
          <cell r="B399" t="str">
            <v>【宇崎日新】中錘式ｼﾝｶｰ 40号 ｸﾞﾛｰ</v>
          </cell>
        </row>
        <row r="400">
          <cell r="A400" t="str">
            <v>A98815</v>
          </cell>
          <cell r="B400" t="str">
            <v>船LEDｼﾝｶｰS25緑点滅夜光/ﾋﾟﾝｸ</v>
          </cell>
        </row>
        <row r="401">
          <cell r="A401" t="str">
            <v>A98816</v>
          </cell>
          <cell r="B401" t="str">
            <v>船LEDｼﾝｶｰS25緑点滅ﾌﾙｺﾞｰﾙﾄﾞ</v>
          </cell>
        </row>
        <row r="402">
          <cell r="A402" t="str">
            <v>A98817</v>
          </cell>
          <cell r="B402" t="str">
            <v>船LEDｼﾝｶｰS25赤点滅夜光/ﾋﾟﾝｸ</v>
          </cell>
        </row>
        <row r="403">
          <cell r="A403" t="str">
            <v>A98818</v>
          </cell>
          <cell r="B403" t="str">
            <v>船LEDｼﾝｶｰS25赤点滅ﾌﾙｺﾞｰﾙﾄﾞ</v>
          </cell>
        </row>
        <row r="404">
          <cell r="A404" t="str">
            <v>A98819</v>
          </cell>
          <cell r="B404" t="str">
            <v>船LEDｼﾝｶｰS25虹点滅夜光/ﾋﾟﾝｸ</v>
          </cell>
        </row>
        <row r="405">
          <cell r="A405" t="str">
            <v>A98820</v>
          </cell>
          <cell r="B405" t="str">
            <v>船LEDｼﾝｶｰS25虹点滅ﾌﾙｺﾞｰﾙﾄﾞ</v>
          </cell>
        </row>
        <row r="406">
          <cell r="A406" t="str">
            <v>A98821</v>
          </cell>
          <cell r="B406" t="str">
            <v>船LEDｼﾝｶｰS30緑点滅夜光/ﾋﾟﾝｸ</v>
          </cell>
        </row>
        <row r="407">
          <cell r="A407" t="str">
            <v>A98822</v>
          </cell>
          <cell r="B407" t="str">
            <v>船LEDｼﾝｶｰS30緑点滅ﾌﾙｺﾞｰﾙﾄﾞ</v>
          </cell>
        </row>
        <row r="408">
          <cell r="A408" t="str">
            <v>A98823</v>
          </cell>
          <cell r="B408" t="str">
            <v>船LEDｼﾝｶｰS30赤点滅夜光/ﾋﾟﾝｸ</v>
          </cell>
        </row>
        <row r="409">
          <cell r="A409" t="str">
            <v>A98824</v>
          </cell>
          <cell r="B409" t="str">
            <v>船LEDｼﾝｶｰS30赤点滅ﾌﾙｺﾞｰﾙﾄﾞ</v>
          </cell>
        </row>
        <row r="410">
          <cell r="A410" t="str">
            <v>A98825</v>
          </cell>
          <cell r="B410" t="str">
            <v>船LEDｼﾝｶｰS30虹点滅夜光/ﾋﾟﾝｸ</v>
          </cell>
        </row>
        <row r="411">
          <cell r="A411" t="str">
            <v>A98826</v>
          </cell>
          <cell r="B411" t="str">
            <v>船LEDｼﾝｶｰS30虹点滅ﾌﾙｺﾞｰﾙﾄﾞ</v>
          </cell>
        </row>
        <row r="412">
          <cell r="A412" t="str">
            <v>A98828</v>
          </cell>
          <cell r="B412" t="str">
            <v>アフターサービス用Oリング</v>
          </cell>
        </row>
        <row r="413">
          <cell r="A413" t="str">
            <v>A98909</v>
          </cell>
          <cell r="B413" t="str">
            <v>ｶﾞｲﾄﾞｻｰﾋﾞｽｾﾌﾞﾝ OEM ｽﾌﾟｰﾙ ﾚｯﾄﾞ</v>
          </cell>
        </row>
        <row r="414">
          <cell r="A414" t="str">
            <v>A98912</v>
          </cell>
          <cell r="B414" t="str">
            <v>ｶﾞｲﾄﾞｻｰﾋﾞｽｾﾌﾞﾝ OEM ｽﾌﾟｰﾙ ﾌﾞﾙｰ</v>
          </cell>
        </row>
        <row r="415">
          <cell r="A415" t="str">
            <v>A98913</v>
          </cell>
          <cell r="B415" t="str">
            <v>ｶﾞｲﾄﾞｻｰﾋﾞｽｾﾌﾞﾝ OEM ｽﾌﾟｰﾙ ｲｴﾛｰ</v>
          </cell>
        </row>
        <row r="416">
          <cell r="A416" t="str">
            <v>A98911</v>
          </cell>
          <cell r="B416" t="str">
            <v>【ｲｼｸﾞﾛｵﾘｼﾞﾅﾙ】ボルトⅡオレンジ</v>
          </cell>
        </row>
        <row r="422">
          <cell r="A422"/>
          <cell r="B422"/>
        </row>
        <row r="423">
          <cell r="A423"/>
          <cell r="B423"/>
        </row>
        <row r="424">
          <cell r="A424" t="str">
            <v>A21615</v>
          </cell>
          <cell r="B424" t="str">
            <v>Xtrada ﾒﾀﾙｼﾞｬｯｶｰ80g ﾌﾙｸﾞﾛｰ</v>
          </cell>
        </row>
      </sheetData>
      <sheetData sheetId="2">
        <row r="1">
          <cell r="B1"/>
        </row>
        <row r="2">
          <cell r="B2" t="str">
            <v>釣具仕入品</v>
          </cell>
        </row>
        <row r="3">
          <cell r="A3" t="str">
            <v>CODE</v>
          </cell>
          <cell r="B3" t="str">
            <v>製品名　</v>
          </cell>
        </row>
        <row r="4">
          <cell r="A4" t="str">
            <v>C00101</v>
          </cell>
          <cell r="B4" t="str">
            <v>お結び名人</v>
          </cell>
        </row>
        <row r="5">
          <cell r="A5" t="str">
            <v>C00112</v>
          </cell>
          <cell r="B5" t="str">
            <v>プニイカ　ショックワン　ﾋﾟﾝｸｸﾞﾛｰ</v>
          </cell>
        </row>
        <row r="6">
          <cell r="A6" t="str">
            <v>C00113</v>
          </cell>
          <cell r="B6" t="str">
            <v>プニイカ　ショックワン　ｹｲﾑﾗﾋﾟﾝｸ</v>
          </cell>
        </row>
        <row r="7">
          <cell r="A7" t="str">
            <v>C00114</v>
          </cell>
          <cell r="B7" t="str">
            <v>プニイカ　ショックワン　ﾚﾓﾝｸﾞﾛｰ</v>
          </cell>
        </row>
        <row r="8">
          <cell r="A8" t="str">
            <v>C00115</v>
          </cell>
          <cell r="B8" t="str">
            <v>プニイカ　ショックワン　ｸﾘｱﾎﾜｲﾄUV</v>
          </cell>
        </row>
        <row r="9">
          <cell r="A9" t="str">
            <v>C00193</v>
          </cell>
          <cell r="B9" t="str">
            <v>ﾌﾟﾆｲｶｼｮｯｸﾜﾝ 沖漬け</v>
          </cell>
        </row>
        <row r="10">
          <cell r="A10" t="str">
            <v>C00116</v>
          </cell>
          <cell r="B10" t="str">
            <v>ﾌﾟﾆｲｶ ｴｯｸｽｳｨﾝｸﾞ ｹｲﾑﾗｸﾘｱ</v>
          </cell>
        </row>
        <row r="11">
          <cell r="A11" t="str">
            <v>C00118</v>
          </cell>
          <cell r="B11" t="str">
            <v>ﾌﾟﾆｲｶ ｴｯｸｽｳｨﾝｸﾞ ｹｲﾑﾗｵﾚﾝｼﾞ</v>
          </cell>
        </row>
        <row r="12">
          <cell r="A12" t="str">
            <v>C00119</v>
          </cell>
          <cell r="B12" t="str">
            <v>ﾌﾟﾆｲｶ ｴｯｸｽｳｨﾝｸﾞ ｹｲﾑﾗﾋﾟﾝｸ</v>
          </cell>
        </row>
        <row r="13">
          <cell r="A13" t="str">
            <v>C00124</v>
          </cell>
          <cell r="B13" t="str">
            <v>ﾌﾟﾆｲｶ ｴｯｸｽｳｨﾝｸﾞ ｹｲﾑﾗｲﾜｼ</v>
          </cell>
        </row>
        <row r="14">
          <cell r="A14" t="str">
            <v>C00183</v>
          </cell>
          <cell r="B14" t="str">
            <v>ﾌﾟﾆｲｶ　3ｲﾝﾁ　ｹｲﾑﾗｸﾘｱ</v>
          </cell>
        </row>
        <row r="15">
          <cell r="A15" t="str">
            <v>C00184</v>
          </cell>
          <cell r="B15" t="str">
            <v>ﾌﾟﾆｲｶ　3ｲﾝﾁ　ｹｲﾑﾗｵﾚﾝｼﾞ</v>
          </cell>
        </row>
        <row r="16">
          <cell r="A16" t="str">
            <v>C00185</v>
          </cell>
          <cell r="B16" t="str">
            <v>ﾌﾟﾆｲｶ　3ｲﾝﾁ　ｹｲﾑﾗﾋﾟﾝｸ</v>
          </cell>
        </row>
        <row r="17">
          <cell r="A17" t="str">
            <v>C00186</v>
          </cell>
          <cell r="B17" t="str">
            <v>ﾌﾟﾆｲｶ　3ｲﾝﾁ　ｹｲﾑﾗﾚｯﾄﾞ</v>
          </cell>
        </row>
        <row r="18">
          <cell r="A18" t="str">
            <v>C00187</v>
          </cell>
          <cell r="B18" t="str">
            <v>ﾌﾟﾆｲｶ　3ｲﾝﾁ　ｸﾘｱﾎﾜｲﾄUV</v>
          </cell>
        </row>
        <row r="19">
          <cell r="A19" t="str">
            <v>C00188</v>
          </cell>
          <cell r="B19" t="str">
            <v>ﾌﾟﾆｲｶ　3ｲﾝﾁ　ｹｲﾑﾗｲﾜｼ</v>
          </cell>
        </row>
        <row r="20">
          <cell r="A20" t="str">
            <v>C00189</v>
          </cell>
          <cell r="B20" t="str">
            <v>ﾌﾟﾆｲｶ　3ｲﾝﾁ　ﾊﾟﾝﾌﾟｷﾝ</v>
          </cell>
        </row>
        <row r="21">
          <cell r="A21" t="str">
            <v>C00190</v>
          </cell>
          <cell r="B21" t="str">
            <v>ﾌﾟﾆｲｶ　3ｲﾝﾁ　ｲｼｶﾞﾆ</v>
          </cell>
        </row>
        <row r="22">
          <cell r="A22" t="str">
            <v>C00191</v>
          </cell>
          <cell r="B22" t="str">
            <v>ﾌﾟﾆｲｶ　3ｲﾝﾁ　ﾊﾃﾞｵﾚﾝｼﾞ</v>
          </cell>
        </row>
        <row r="23">
          <cell r="A23" t="str">
            <v>C00192</v>
          </cell>
          <cell r="B23" t="str">
            <v>ﾌﾟﾆｲｶ　3ｲﾝﾁ　ｱﾐｸﾞﾛｰ</v>
          </cell>
        </row>
        <row r="24">
          <cell r="A24" t="str">
            <v>C19188</v>
          </cell>
          <cell r="B24" t="str">
            <v>ﾌﾟﾆｲｶ 3inch 血管</v>
          </cell>
        </row>
        <row r="25">
          <cell r="A25" t="str">
            <v>C19189</v>
          </cell>
          <cell r="B25" t="str">
            <v>ﾌﾟﾆｲｶ 3inch ﾄﾞｯﾄｸﾞﾛｰ</v>
          </cell>
        </row>
        <row r="26">
          <cell r="A26" t="str">
            <v>C19190</v>
          </cell>
          <cell r="B26" t="str">
            <v>ﾌﾟﾆｲｶ 3inch ﾄﾞｯﾄｹｲﾑﾗ</v>
          </cell>
        </row>
        <row r="27">
          <cell r="A27" t="str">
            <v>C19191</v>
          </cell>
          <cell r="B27" t="str">
            <v>ﾌﾟﾆｲｶ 3inch 素干し</v>
          </cell>
        </row>
        <row r="28">
          <cell r="A28" t="str">
            <v>C19192</v>
          </cell>
          <cell r="B28" t="str">
            <v>ﾌﾟﾆｲｶ 3inch 生</v>
          </cell>
        </row>
        <row r="29">
          <cell r="A29" t="str">
            <v>C19193</v>
          </cell>
          <cell r="B29" t="str">
            <v>ﾌﾟﾆｲｶｼｮｯｸﾜﾝ 血管</v>
          </cell>
        </row>
        <row r="30">
          <cell r="A30" t="str">
            <v>C19194</v>
          </cell>
          <cell r="B30" t="str">
            <v>ﾌﾟﾆｲｶｼｮｯｸﾜﾝ ﾄﾞｯﾄｸﾞﾛｰ</v>
          </cell>
        </row>
        <row r="31">
          <cell r="A31" t="str">
            <v>C19195</v>
          </cell>
          <cell r="B31" t="str">
            <v>ﾌﾟﾆｲｶｼｮｯｸﾜﾝ ﾄﾞｯﾄｹｲﾑﾗ</v>
          </cell>
        </row>
        <row r="32">
          <cell r="A32" t="str">
            <v>C19196</v>
          </cell>
          <cell r="B32" t="str">
            <v>ﾌﾟﾆｲｶｼｮｯｸﾜﾝ 素干し</v>
          </cell>
        </row>
        <row r="33">
          <cell r="A33" t="str">
            <v>C19197</v>
          </cell>
          <cell r="B33" t="str">
            <v>ﾌﾟﾆｲｶｼｮｯｸﾜﾝ 生</v>
          </cell>
        </row>
        <row r="34">
          <cell r="A34" t="str">
            <v>C00225</v>
          </cell>
          <cell r="B34" t="str">
            <v>プニラバTG 60g 緑色グローラメ</v>
          </cell>
        </row>
        <row r="35">
          <cell r="A35" t="str">
            <v>C00226</v>
          </cell>
          <cell r="B35" t="str">
            <v>プニラバTG 60g 青色グローラメ</v>
          </cell>
        </row>
        <row r="36">
          <cell r="A36" t="str">
            <v>C00227</v>
          </cell>
          <cell r="B36" t="str">
            <v>プニラバTG 60g パンプキン</v>
          </cell>
        </row>
        <row r="37">
          <cell r="A37" t="str">
            <v>C00228</v>
          </cell>
          <cell r="B37" t="str">
            <v>プニラバTG 60g チャートリュース</v>
          </cell>
        </row>
        <row r="38">
          <cell r="A38" t="str">
            <v>C00229</v>
          </cell>
          <cell r="B38" t="str">
            <v>プニラバTG 60g UV-ピンク</v>
          </cell>
        </row>
        <row r="39">
          <cell r="A39" t="str">
            <v>C00230</v>
          </cell>
          <cell r="B39" t="str">
            <v>プニラバTG 60g UV-オレンジ</v>
          </cell>
        </row>
        <row r="40">
          <cell r="A40" t="str">
            <v>C00231</v>
          </cell>
          <cell r="B40" t="str">
            <v>プニラバTG 60g UV-レッド</v>
          </cell>
        </row>
        <row r="41">
          <cell r="A41" t="str">
            <v>C00232</v>
          </cell>
          <cell r="B41" t="str">
            <v>プニラバTG 80g 緑色グローラメ</v>
          </cell>
        </row>
        <row r="42">
          <cell r="A42" t="str">
            <v>C00233</v>
          </cell>
          <cell r="B42" t="str">
            <v>プニラバTG 80g 青色グローラメ</v>
          </cell>
        </row>
        <row r="43">
          <cell r="A43" t="str">
            <v>C00234</v>
          </cell>
          <cell r="B43" t="str">
            <v>プニラバTG 80g パンプキン</v>
          </cell>
        </row>
        <row r="44">
          <cell r="A44" t="str">
            <v>C00235</v>
          </cell>
          <cell r="B44" t="str">
            <v>プニラバTG 80g チャートリュース</v>
          </cell>
        </row>
        <row r="45">
          <cell r="A45" t="str">
            <v>C00236</v>
          </cell>
          <cell r="B45" t="str">
            <v>プニラバTG 80g UV-ピンク</v>
          </cell>
        </row>
        <row r="46">
          <cell r="A46" t="str">
            <v>C00237</v>
          </cell>
          <cell r="B46" t="str">
            <v>プニラバTG 80g UV-オレンジ</v>
          </cell>
        </row>
        <row r="47">
          <cell r="A47" t="str">
            <v>C00238</v>
          </cell>
          <cell r="B47" t="str">
            <v>プニラバTG 80g UV-レッド</v>
          </cell>
        </row>
        <row r="48">
          <cell r="A48" t="str">
            <v>C00239</v>
          </cell>
          <cell r="B48" t="str">
            <v>プニラバTG 100g 緑色グローラメ</v>
          </cell>
        </row>
        <row r="49">
          <cell r="A49" t="str">
            <v>C00240</v>
          </cell>
          <cell r="B49" t="str">
            <v>プニラバTG 100g 青色グローラメ</v>
          </cell>
        </row>
        <row r="50">
          <cell r="A50" t="str">
            <v>C00241</v>
          </cell>
          <cell r="B50" t="str">
            <v>プニラバTG 100g パンプキン</v>
          </cell>
        </row>
        <row r="51">
          <cell r="A51" t="str">
            <v>C00242</v>
          </cell>
          <cell r="B51" t="str">
            <v>プニラバTG 100g チャートリュース</v>
          </cell>
        </row>
        <row r="52">
          <cell r="A52" t="str">
            <v>C00243</v>
          </cell>
          <cell r="B52" t="str">
            <v>プニラバTG 100g UV-ピンク</v>
          </cell>
        </row>
        <row r="53">
          <cell r="A53" t="str">
            <v>C00244</v>
          </cell>
          <cell r="B53" t="str">
            <v>プニラバTG 100g UV-オレンジ</v>
          </cell>
        </row>
        <row r="54">
          <cell r="A54" t="str">
            <v>C00245</v>
          </cell>
          <cell r="B54" t="str">
            <v>プニラバTG 100g UV-レッド</v>
          </cell>
        </row>
        <row r="55">
          <cell r="A55" t="str">
            <v>C00246</v>
          </cell>
          <cell r="B55" t="str">
            <v>TG交換用ｲｶｽｰﾂ(S)緑色ｸﾞﾛｰﾗﾒ</v>
          </cell>
        </row>
        <row r="56">
          <cell r="A56" t="str">
            <v>C00247</v>
          </cell>
          <cell r="B56" t="str">
            <v>TG交換用ｲｶｽｰﾂ(S)青色ｸﾞﾛｰﾗﾒ</v>
          </cell>
        </row>
        <row r="57">
          <cell r="A57" t="str">
            <v>C00248</v>
          </cell>
          <cell r="B57" t="str">
            <v>TG交換用ｲｶｽｰﾂ(S)ﾊﾟﾝﾌﾟｷﾝ</v>
          </cell>
        </row>
        <row r="58">
          <cell r="A58" t="str">
            <v>C00249</v>
          </cell>
          <cell r="B58" t="str">
            <v>TG交換用ｲｶｽｰﾂ(S)ﾁｬｰﾄﾘｭｰｽ</v>
          </cell>
        </row>
        <row r="59">
          <cell r="A59" t="str">
            <v>C00250</v>
          </cell>
          <cell r="B59" t="str">
            <v>TG交換用ｲｶｽｰﾂ(S)UV-ﾋﾟﾝｸ</v>
          </cell>
        </row>
        <row r="60">
          <cell r="A60" t="str">
            <v>C00251</v>
          </cell>
          <cell r="B60" t="str">
            <v>TG交換用ｲｶｽｰﾂ(S)UV-ｵﾚﾝｼﾞ</v>
          </cell>
        </row>
        <row r="61">
          <cell r="A61" t="str">
            <v>C00252</v>
          </cell>
          <cell r="B61" t="str">
            <v>TG交換用ｲｶｽｰﾂ(S)UV-ｸﾘｱ</v>
          </cell>
        </row>
        <row r="62">
          <cell r="A62" t="str">
            <v>C00271</v>
          </cell>
          <cell r="B62" t="str">
            <v>タコディギ2.5号　ゴースト</v>
          </cell>
        </row>
        <row r="63">
          <cell r="A63" t="str">
            <v>C00272</v>
          </cell>
          <cell r="B63" t="str">
            <v>タコディギ2.5号　ハッピーシュリンプ</v>
          </cell>
        </row>
        <row r="64">
          <cell r="A64" t="str">
            <v>C00273</v>
          </cell>
          <cell r="B64" t="str">
            <v>タコディギ2.5号   グロー</v>
          </cell>
        </row>
        <row r="65">
          <cell r="A65" t="str">
            <v>C00274</v>
          </cell>
          <cell r="B65" t="str">
            <v>タコディギ2.5号　イワシ</v>
          </cell>
        </row>
        <row r="66">
          <cell r="A66" t="str">
            <v>C00275</v>
          </cell>
          <cell r="B66" t="str">
            <v>タコディギ2.5号　イタリー</v>
          </cell>
        </row>
        <row r="67">
          <cell r="A67" t="str">
            <v>C00276</v>
          </cell>
          <cell r="B67" t="str">
            <v>タコディギ2.5号　ジャーマニー</v>
          </cell>
        </row>
        <row r="68">
          <cell r="A68" t="str">
            <v>C00277</v>
          </cell>
          <cell r="B68" t="str">
            <v>タコディギ2.5号　さくらもち</v>
          </cell>
        </row>
        <row r="69">
          <cell r="A69" t="str">
            <v>C00278</v>
          </cell>
          <cell r="B69" t="str">
            <v>タコディギ2.5号　チャートイエロー</v>
          </cell>
        </row>
        <row r="70">
          <cell r="A70" t="str">
            <v>C00279</v>
          </cell>
          <cell r="B70" t="str">
            <v>タコディギ2.5号　スイカ</v>
          </cell>
        </row>
        <row r="71">
          <cell r="A71" t="str">
            <v>C00281</v>
          </cell>
          <cell r="B71" t="str">
            <v>タコディギ3号　ゴースト</v>
          </cell>
        </row>
        <row r="72">
          <cell r="A72" t="str">
            <v>C00282</v>
          </cell>
          <cell r="B72" t="str">
            <v>タコディギ3号　ハッピーシュリンプ</v>
          </cell>
        </row>
        <row r="73">
          <cell r="A73" t="str">
            <v>C00283</v>
          </cell>
          <cell r="B73" t="str">
            <v>タコディギ3号　グロー</v>
          </cell>
        </row>
        <row r="74">
          <cell r="A74" t="str">
            <v>C00284</v>
          </cell>
          <cell r="B74" t="str">
            <v>タコディギ3号　イワシ</v>
          </cell>
        </row>
        <row r="75">
          <cell r="A75" t="str">
            <v>C00285</v>
          </cell>
          <cell r="B75" t="str">
            <v>タコディギ3号　イタリー</v>
          </cell>
        </row>
        <row r="76">
          <cell r="A76" t="str">
            <v>C00286</v>
          </cell>
          <cell r="B76" t="str">
            <v>タコディギ3号　ジャーマニー</v>
          </cell>
        </row>
        <row r="77">
          <cell r="A77" t="str">
            <v>C00287</v>
          </cell>
          <cell r="B77" t="str">
            <v>タコディギ3号　さくらもち</v>
          </cell>
        </row>
        <row r="78">
          <cell r="A78" t="str">
            <v>C00288</v>
          </cell>
          <cell r="B78" t="str">
            <v>タコディギ3号　チャートイエロー</v>
          </cell>
        </row>
        <row r="79">
          <cell r="A79" t="str">
            <v>C00289</v>
          </cell>
          <cell r="B79" t="str">
            <v>タコディギ3号　スイカ</v>
          </cell>
        </row>
        <row r="80">
          <cell r="A80" t="str">
            <v>C00300</v>
          </cell>
          <cell r="B80" t="str">
            <v>ｅ-エギ2.5号ケイムラローズ</v>
          </cell>
        </row>
        <row r="81">
          <cell r="A81" t="str">
            <v>C00301</v>
          </cell>
          <cell r="B81" t="str">
            <v>ｅ-エギ2.5号赤/ガーベラ</v>
          </cell>
        </row>
        <row r="82">
          <cell r="A82" t="str">
            <v>C00302</v>
          </cell>
          <cell r="B82" t="str">
            <v>ｅ-エギ2.5号金ザサ</v>
          </cell>
        </row>
        <row r="83">
          <cell r="A83" t="str">
            <v>C00303</v>
          </cell>
          <cell r="B83" t="str">
            <v>ｅ-エギ2.5号金ツバキ</v>
          </cell>
        </row>
        <row r="84">
          <cell r="A84" t="str">
            <v>C00304</v>
          </cell>
          <cell r="B84" t="str">
            <v>ｅ-エギ2.5号ケイムラブーケ</v>
          </cell>
        </row>
        <row r="85">
          <cell r="A85" t="str">
            <v>C00305</v>
          </cell>
          <cell r="B85" t="str">
            <v>ｅ-エギ2.5号赤/カーネーション</v>
          </cell>
        </row>
        <row r="86">
          <cell r="A86" t="str">
            <v>C00306</v>
          </cell>
          <cell r="B86" t="str">
            <v>ｅ-エギ3.0号ケイムラローズ</v>
          </cell>
        </row>
        <row r="87">
          <cell r="A87" t="str">
            <v>C00307</v>
          </cell>
          <cell r="B87" t="str">
            <v>ｅ-エギ3.0号赤/ガーベラ</v>
          </cell>
        </row>
        <row r="88">
          <cell r="A88" t="str">
            <v>C00308</v>
          </cell>
          <cell r="B88" t="str">
            <v>ｅ-エギ3.0号金ザサ</v>
          </cell>
        </row>
        <row r="89">
          <cell r="A89" t="str">
            <v>C00309</v>
          </cell>
          <cell r="B89" t="str">
            <v>ｅ-エギ3.0号金ツバキ</v>
          </cell>
        </row>
        <row r="90">
          <cell r="A90" t="str">
            <v>C00310</v>
          </cell>
          <cell r="B90" t="str">
            <v>ｅ-エギ3.0号ケイムラブーケ</v>
          </cell>
        </row>
        <row r="91">
          <cell r="A91" t="str">
            <v>C00311</v>
          </cell>
          <cell r="B91" t="str">
            <v>ｅ-エギ3.0号赤/カーネーション</v>
          </cell>
        </row>
        <row r="92">
          <cell r="A92" t="str">
            <v>C00312</v>
          </cell>
          <cell r="B92" t="str">
            <v>ｅ-エギ3.5号ケイムラローズ</v>
          </cell>
        </row>
        <row r="93">
          <cell r="A93" t="str">
            <v>C00313</v>
          </cell>
          <cell r="B93" t="str">
            <v>ｅ-エギ3.5号赤/ガーベラ</v>
          </cell>
        </row>
        <row r="94">
          <cell r="A94" t="str">
            <v>C00314</v>
          </cell>
          <cell r="B94" t="str">
            <v>ｅ-エギ3.5号金ザサ</v>
          </cell>
        </row>
        <row r="95">
          <cell r="A95" t="str">
            <v>C00315</v>
          </cell>
          <cell r="B95" t="str">
            <v>ｅ-エギ3.5号金ツバキ</v>
          </cell>
        </row>
        <row r="96">
          <cell r="A96" t="str">
            <v>C00316</v>
          </cell>
          <cell r="B96" t="str">
            <v>ｅ-エギ3.5号ケイムラブーケ</v>
          </cell>
        </row>
        <row r="97">
          <cell r="A97" t="str">
            <v>C00317</v>
          </cell>
          <cell r="B97" t="str">
            <v>ｅ-エギ3.5号赤/カーネーション</v>
          </cell>
        </row>
        <row r="98">
          <cell r="A98" t="str">
            <v>C19024</v>
          </cell>
          <cell r="B98" t="str">
            <v>ケミブライトパウダー　レッド</v>
          </cell>
        </row>
        <row r="99">
          <cell r="A99" t="str">
            <v>C19028</v>
          </cell>
          <cell r="B99" t="str">
            <v>ケミブライトパウダー　Ｇ－３０</v>
          </cell>
        </row>
        <row r="100">
          <cell r="A100" t="str">
            <v>C19124</v>
          </cell>
          <cell r="B100" t="str">
            <v>へら名人「鑠」道糸(全号数)</v>
          </cell>
        </row>
        <row r="101">
          <cell r="A101" t="str">
            <v>C19125</v>
          </cell>
          <cell r="B101" t="str">
            <v>へら名人「鑠」ハリス(全号数)</v>
          </cell>
        </row>
        <row r="102">
          <cell r="A102" t="str">
            <v>C19126</v>
          </cell>
          <cell r="B102" t="str">
            <v>へら名人（茶）(全号数)</v>
          </cell>
        </row>
        <row r="103">
          <cell r="A103" t="str">
            <v>C19127</v>
          </cell>
          <cell r="B103" t="str">
            <v>へらハリス50m(全号数)</v>
          </cell>
        </row>
        <row r="104">
          <cell r="A104" t="str">
            <v>C19128</v>
          </cell>
          <cell r="B104" t="str">
            <v>へらゴング道糸(全号数)</v>
          </cell>
        </row>
        <row r="105">
          <cell r="A105" t="str">
            <v>C19129</v>
          </cell>
          <cell r="B105" t="str">
            <v>へらゴング　ハリス(全号数)</v>
          </cell>
        </row>
        <row r="106">
          <cell r="A106" t="str">
            <v>C19130</v>
          </cell>
          <cell r="B106" t="str">
            <v>へら鯉リーダー(全号数)</v>
          </cell>
        </row>
        <row r="107">
          <cell r="A107" t="str">
            <v>C19131</v>
          </cell>
          <cell r="B107" t="str">
            <v>へら鯉　ハリス(全号数)</v>
          </cell>
        </row>
        <row r="108">
          <cell r="A108" t="str">
            <v>C19132</v>
          </cell>
          <cell r="B108" t="str">
            <v>岩太郎(全号数)</v>
          </cell>
        </row>
        <row r="109">
          <cell r="A109" t="str">
            <v>C19133</v>
          </cell>
          <cell r="B109" t="str">
            <v>岩太郎　クラシック(全号数)</v>
          </cell>
        </row>
        <row r="110">
          <cell r="A110" t="str">
            <v>C19134</v>
          </cell>
          <cell r="B110" t="str">
            <v>名人　詳(全号数)</v>
          </cell>
        </row>
        <row r="111">
          <cell r="A111" t="str">
            <v>C19177</v>
          </cell>
          <cell r="B111" t="str">
            <v>へら名人（緑）(全号数)</v>
          </cell>
        </row>
        <row r="112">
          <cell r="A112" t="str">
            <v>C19178</v>
          </cell>
          <cell r="B112" t="str">
            <v>セラミックへら名人50m(全号数)</v>
          </cell>
        </row>
        <row r="113">
          <cell r="A113" t="str">
            <v>C19179</v>
          </cell>
          <cell r="B113" t="str">
            <v>セラミックへらハリス底50m(全号数)</v>
          </cell>
        </row>
        <row r="114">
          <cell r="A114" t="str">
            <v>C19180</v>
          </cell>
          <cell r="B114" t="str">
            <v>セラミックへらハリス宙50m(全号数)</v>
          </cell>
        </row>
        <row r="115">
          <cell r="A115" t="str">
            <v>C19200</v>
          </cell>
          <cell r="B115" t="str">
            <v>めじるしチャーム（タコ）</v>
          </cell>
        </row>
        <row r="116">
          <cell r="A116" t="str">
            <v>C19201</v>
          </cell>
          <cell r="B116" t="str">
            <v>めじるしチャーム（鯵フライ）</v>
          </cell>
        </row>
        <row r="117">
          <cell r="A117" t="str">
            <v>C19202</v>
          </cell>
          <cell r="B117" t="str">
            <v>豆アジ（片面）キーホルダー</v>
          </cell>
        </row>
        <row r="118">
          <cell r="A118" t="str">
            <v>C19203</v>
          </cell>
          <cell r="B118" t="str">
            <v>ニシンの頭（片面）キーホルダー</v>
          </cell>
        </row>
        <row r="119">
          <cell r="A119" t="str">
            <v>C19204</v>
          </cell>
          <cell r="B119" t="str">
            <v>焼秋刀魚の頭（両面）キーホルダー</v>
          </cell>
        </row>
        <row r="120">
          <cell r="A120" t="str">
            <v>C20214</v>
          </cell>
          <cell r="B120" t="str">
            <v>ｱﾙｶﾘﾎﾞﾀﾝ電池 LR-41（3個ﾕﾆｯﾄ）</v>
          </cell>
        </row>
        <row r="121">
          <cell r="A121" t="str">
            <v>C20221</v>
          </cell>
          <cell r="B121" t="str">
            <v>水中ライト 大　Ｌ型－マルチ（１灯）</v>
          </cell>
        </row>
        <row r="122">
          <cell r="A122" t="str">
            <v>C20237</v>
          </cell>
          <cell r="B122" t="str">
            <v>水中ライト 小　輝泡－青（１灯）</v>
          </cell>
        </row>
        <row r="123">
          <cell r="A123" t="str">
            <v>C20250</v>
          </cell>
          <cell r="B123" t="str">
            <v>流星Ⅱ　グリーン</v>
          </cell>
        </row>
        <row r="124">
          <cell r="A124" t="str">
            <v>C20251</v>
          </cell>
          <cell r="B124" t="str">
            <v>流星Ⅱ　ブルー</v>
          </cell>
        </row>
        <row r="125">
          <cell r="A125" t="str">
            <v>C20258</v>
          </cell>
          <cell r="B125" t="str">
            <v>UFOライト　カラーチェンジ</v>
          </cell>
        </row>
        <row r="126">
          <cell r="A126" t="str">
            <v>C20264</v>
          </cell>
          <cell r="B126" t="str">
            <v>クアトログリーン</v>
          </cell>
        </row>
        <row r="127">
          <cell r="A127" t="str">
            <v>C20265</v>
          </cell>
          <cell r="B127" t="str">
            <v>クアトロブルー</v>
          </cell>
        </row>
        <row r="128">
          <cell r="A128" t="str">
            <v>C20266</v>
          </cell>
          <cell r="B128" t="str">
            <v>クアトロレッド</v>
          </cell>
        </row>
        <row r="129">
          <cell r="A129" t="str">
            <v>C20267</v>
          </cell>
          <cell r="B129" t="str">
            <v>クアトロＵＶ</v>
          </cell>
        </row>
        <row r="130">
          <cell r="A130" t="str">
            <v>C20276</v>
          </cell>
          <cell r="B130" t="str">
            <v>ボルトⅡ　ブルー</v>
          </cell>
        </row>
        <row r="131">
          <cell r="A131" t="str">
            <v>C20277</v>
          </cell>
          <cell r="B131" t="str">
            <v>ボルトⅡ　ホワイト</v>
          </cell>
        </row>
        <row r="132">
          <cell r="A132" t="str">
            <v>C20278</v>
          </cell>
          <cell r="B132" t="str">
            <v>ボルトⅡ　グリーン</v>
          </cell>
        </row>
        <row r="133">
          <cell r="A133" t="str">
            <v>C20293</v>
          </cell>
          <cell r="B133" t="str">
            <v>ボルトⅡ オーロラホワイト</v>
          </cell>
        </row>
        <row r="134">
          <cell r="A134" t="str">
            <v>C20294</v>
          </cell>
          <cell r="B134" t="str">
            <v>ボルトⅡ プランクトンブルー</v>
          </cell>
        </row>
        <row r="135">
          <cell r="A135" t="str">
            <v>C20280</v>
          </cell>
          <cell r="B135" t="str">
            <v>水中ライトスパークル　レッド</v>
          </cell>
        </row>
        <row r="136">
          <cell r="A136" t="str">
            <v>C20281</v>
          </cell>
          <cell r="B136" t="str">
            <v>水中ライトスパークル　ブルー</v>
          </cell>
        </row>
        <row r="137">
          <cell r="A137" t="str">
            <v>C20282</v>
          </cell>
          <cell r="B137" t="str">
            <v>水中ライトスパークル　ホワイト</v>
          </cell>
        </row>
        <row r="138">
          <cell r="A138" t="str">
            <v>C20283</v>
          </cell>
          <cell r="B138" t="str">
            <v>水中ライトスパークル　ゴールド</v>
          </cell>
        </row>
        <row r="139">
          <cell r="A139" t="str">
            <v>C20284</v>
          </cell>
          <cell r="B139" t="str">
            <v>水中ライトスパークル　ピンク</v>
          </cell>
        </row>
        <row r="140">
          <cell r="A140" t="str">
            <v>C20291</v>
          </cell>
          <cell r="B140" t="str">
            <v>クアトロ　カラーチェンジ</v>
          </cell>
        </row>
        <row r="141">
          <cell r="A141" t="str">
            <v>C20292</v>
          </cell>
          <cell r="B141" t="str">
            <v>クアトロ　4カラー</v>
          </cell>
        </row>
        <row r="142">
          <cell r="A142" t="str">
            <v>C20296</v>
          </cell>
          <cell r="B142" t="str">
            <v>クアトロ プランクトンブルー</v>
          </cell>
        </row>
        <row r="143">
          <cell r="A143" t="str">
            <v>C20302</v>
          </cell>
          <cell r="B143" t="str">
            <v>ソニック（Ｓ） グリーン＆グリーン</v>
          </cell>
        </row>
        <row r="144">
          <cell r="A144" t="str">
            <v>C20303</v>
          </cell>
          <cell r="B144" t="str">
            <v>ソニック（Ｓ） レッド＆レッド</v>
          </cell>
        </row>
        <row r="145">
          <cell r="A145" t="str">
            <v>C20306</v>
          </cell>
          <cell r="B145" t="str">
            <v>ソニック（Ｍ） ブルー＆ブルー</v>
          </cell>
        </row>
        <row r="146">
          <cell r="A146" t="str">
            <v>C20307</v>
          </cell>
          <cell r="B146" t="str">
            <v>ソニック（Ｍ） グリーン＆グリーン</v>
          </cell>
        </row>
        <row r="147">
          <cell r="A147" t="str">
            <v>C20308</v>
          </cell>
          <cell r="B147" t="str">
            <v>ソニック（Ｍ） レッド＆レッド</v>
          </cell>
        </row>
        <row r="148">
          <cell r="A148" t="str">
            <v>C20309</v>
          </cell>
          <cell r="B148" t="str">
            <v>ソニック（Ｍ） ＵＶ＆ピンク</v>
          </cell>
        </row>
        <row r="149">
          <cell r="A149" t="str">
            <v>C20310</v>
          </cell>
          <cell r="B149" t="str">
            <v>ソニック（Ｍ） ＵＶ＆蓄光グリーン</v>
          </cell>
        </row>
        <row r="150">
          <cell r="A150" t="str">
            <v>C20311</v>
          </cell>
          <cell r="B150" t="str">
            <v>ビットⅡ　グリーン</v>
          </cell>
        </row>
        <row r="151">
          <cell r="A151" t="str">
            <v>C20312</v>
          </cell>
          <cell r="B151" t="str">
            <v>ビットⅡ　ブルー</v>
          </cell>
        </row>
        <row r="152">
          <cell r="A152" t="str">
            <v>C20313</v>
          </cell>
          <cell r="B152" t="str">
            <v>ビットⅡ　レッド</v>
          </cell>
        </row>
        <row r="153">
          <cell r="A153" t="str">
            <v>C20314</v>
          </cell>
          <cell r="B153" t="str">
            <v>ビットⅡ　ホワイト</v>
          </cell>
        </row>
        <row r="154">
          <cell r="A154" t="str">
            <v>C20315</v>
          </cell>
          <cell r="B154" t="str">
            <v>ビットⅡ　カラーチェンジ</v>
          </cell>
        </row>
        <row r="155">
          <cell r="A155" t="str">
            <v>C20322</v>
          </cell>
          <cell r="B155" t="str">
            <v>ビットⅡ　UV</v>
          </cell>
        </row>
        <row r="156">
          <cell r="A156" t="str">
            <v>C20316</v>
          </cell>
          <cell r="B156" t="str">
            <v>シン・ピンライト　グリーン</v>
          </cell>
        </row>
        <row r="157">
          <cell r="A157" t="str">
            <v>C20317</v>
          </cell>
          <cell r="B157" t="str">
            <v>シン・ピンライト　ブルー</v>
          </cell>
        </row>
        <row r="158">
          <cell r="A158" t="str">
            <v>C20318</v>
          </cell>
          <cell r="B158" t="str">
            <v>シン・ピンライト　レッド</v>
          </cell>
        </row>
        <row r="159">
          <cell r="A159" t="str">
            <v>C20319</v>
          </cell>
          <cell r="B159" t="str">
            <v>シン・ピンライト　カラーチェンジ</v>
          </cell>
        </row>
        <row r="160">
          <cell r="A160" t="str">
            <v>C20323</v>
          </cell>
          <cell r="B160" t="str">
            <v>水中ﾗｲﾄS型ｽｲｯﾁ ｸﾞﾘｰﾝ</v>
          </cell>
        </row>
        <row r="161">
          <cell r="A161" t="str">
            <v>C20324</v>
          </cell>
          <cell r="B161" t="str">
            <v>水中ﾗｲﾄS型ｽｲｯﾁ ﾌﾞﾙｰ</v>
          </cell>
        </row>
        <row r="162">
          <cell r="A162" t="str">
            <v>C20325</v>
          </cell>
          <cell r="B162" t="str">
            <v>水中ﾗｲﾄS型ｽｲｯﾁ ﾚｯﾄﾞ</v>
          </cell>
        </row>
        <row r="163">
          <cell r="A163" t="str">
            <v>C20326</v>
          </cell>
          <cell r="B163" t="str">
            <v>水中ﾗｲﾄS型ｽｲｯﾁ ﾎﾜｲﾄ</v>
          </cell>
        </row>
        <row r="164">
          <cell r="A164" t="str">
            <v>C20327</v>
          </cell>
          <cell r="B164" t="str">
            <v>水中ﾗｲﾄS型ｽｲｯﾁ ﾌﾟﾗﾝｸﾄﾝﾌﾞﾙｰ</v>
          </cell>
        </row>
        <row r="165">
          <cell r="A165" t="str">
            <v>C20328</v>
          </cell>
          <cell r="B165" t="str">
            <v>水中ﾗｲﾄS型ｽｲｯﾁ ｶﾗｰﾁｪﾝｼﾞ</v>
          </cell>
        </row>
        <row r="166">
          <cell r="A166" t="str">
            <v>C20329</v>
          </cell>
          <cell r="B166" t="str">
            <v>ｱﾙｶﾘﾎﾞﾀﾝ電池 LR-41（2個ｾｯﾄ）</v>
          </cell>
        </row>
        <row r="167">
          <cell r="A167" t="str">
            <v>C20330</v>
          </cell>
          <cell r="B167" t="str">
            <v>水中ﾗｲﾄS型流星 ｸﾞﾘｰﾝ</v>
          </cell>
        </row>
        <row r="168">
          <cell r="A168" t="str">
            <v>C20331</v>
          </cell>
          <cell r="B168" t="str">
            <v>水中ﾗｲﾄS型流星 ﾌﾞﾙｰ</v>
          </cell>
        </row>
        <row r="169">
          <cell r="A169" t="str">
            <v>C20332</v>
          </cell>
          <cell r="B169" t="str">
            <v>水中ﾗｲﾄS型流星 ﾚｯﾄﾞ</v>
          </cell>
        </row>
        <row r="170">
          <cell r="A170" t="str">
            <v>C20333</v>
          </cell>
          <cell r="B170" t="str">
            <v>水中ﾗｲﾄS型流星 ﾎﾜｲﾄ</v>
          </cell>
        </row>
        <row r="171">
          <cell r="A171" t="str">
            <v>C20334</v>
          </cell>
          <cell r="B171" t="str">
            <v>水中ﾗｲﾄS型流星 ｶﾗｰﾁｪﾝｼﾞ</v>
          </cell>
        </row>
        <row r="172">
          <cell r="A172" t="str">
            <v>C20335</v>
          </cell>
          <cell r="B172" t="str">
            <v>水中ﾗｲﾄS型流星 ﾌﾟﾗﾝｸﾄﾝﾌﾞﾙｰ</v>
          </cell>
        </row>
        <row r="173">
          <cell r="A173" t="str">
            <v>C21080</v>
          </cell>
          <cell r="B173" t="str">
            <v>ﾁｬｯﾌﾟ ｵﾝ 2ｶﾗｰ B</v>
          </cell>
        </row>
        <row r="174">
          <cell r="A174" t="str">
            <v>C21081</v>
          </cell>
          <cell r="B174" t="str">
            <v>ﾁｬｯﾌﾟ ｵﾝ 2ｶﾗｰ 3B</v>
          </cell>
        </row>
      </sheetData>
      <sheetData sheetId="3">
        <row r="1">
          <cell r="B1"/>
        </row>
        <row r="2">
          <cell r="B2" t="str">
            <v>6ｲﾝﾁ-INV.</v>
          </cell>
        </row>
        <row r="3">
          <cell r="A3" t="str">
            <v>CODE</v>
          </cell>
          <cell r="B3" t="str">
            <v>製品名　</v>
          </cell>
        </row>
        <row r="4">
          <cell r="A4" t="str">
            <v>E00301</v>
          </cell>
          <cell r="B4" t="str">
            <v>６インチレギュラー　GREEN</v>
          </cell>
        </row>
        <row r="5">
          <cell r="A5" t="str">
            <v>E00302</v>
          </cell>
          <cell r="B5" t="str">
            <v>６インチレギュラー　BLUE</v>
          </cell>
        </row>
        <row r="6">
          <cell r="A6" t="str">
            <v>E00303</v>
          </cell>
          <cell r="B6" t="str">
            <v>６インチレギュラー　PINK</v>
          </cell>
        </row>
        <row r="7">
          <cell r="A7" t="str">
            <v>E00304</v>
          </cell>
          <cell r="B7" t="str">
            <v>６インチレギュラー　ORANGE</v>
          </cell>
        </row>
        <row r="8">
          <cell r="A8" t="str">
            <v>E00305</v>
          </cell>
          <cell r="B8" t="str">
            <v>６インチレギュラー　YELLOW</v>
          </cell>
        </row>
        <row r="9">
          <cell r="A9" t="str">
            <v>E00306</v>
          </cell>
          <cell r="B9" t="str">
            <v>６インチレギュラー　RED</v>
          </cell>
        </row>
        <row r="10">
          <cell r="A10" t="str">
            <v>E00307</v>
          </cell>
          <cell r="B10" t="str">
            <v>６インチレギュラー　WHITE</v>
          </cell>
        </row>
        <row r="11">
          <cell r="A11" t="str">
            <v>E00308</v>
          </cell>
          <cell r="B11" t="str">
            <v>６インチレギュラー　VIOLET</v>
          </cell>
        </row>
        <row r="12">
          <cell r="A12" t="str">
            <v>E00309</v>
          </cell>
          <cell r="B12" t="str">
            <v>６インチレギュラー　YELLOW-Hi</v>
          </cell>
        </row>
        <row r="13">
          <cell r="A13" t="str">
            <v>E00311</v>
          </cell>
          <cell r="B13" t="str">
            <v>ﾙﾐｶﾗｲﾄ6ｲﾝﾁ for camping GREEN</v>
          </cell>
        </row>
        <row r="14">
          <cell r="A14" t="str">
            <v>E00312</v>
          </cell>
          <cell r="B14" t="str">
            <v>ﾙﾐｶﾗｲﾄ6ｲﾝﾁ for camping BLUE</v>
          </cell>
        </row>
        <row r="15">
          <cell r="A15" t="str">
            <v>E00313</v>
          </cell>
          <cell r="B15" t="str">
            <v>ﾙﾐｶﾗｲﾄ6ｲﾝﾁ for camping PINK</v>
          </cell>
        </row>
        <row r="16">
          <cell r="A16" t="str">
            <v>E00314</v>
          </cell>
          <cell r="B16" t="str">
            <v>ﾙﾐｶﾗｲﾄ6ｲﾝﾁ for camping ORANGE</v>
          </cell>
        </row>
        <row r="17">
          <cell r="A17" t="str">
            <v>E00315</v>
          </cell>
          <cell r="B17" t="str">
            <v>ﾙﾐｶﾗｲﾄ6ｲﾝﾁ for camping YELLOW</v>
          </cell>
        </row>
        <row r="18">
          <cell r="A18" t="str">
            <v>E00316</v>
          </cell>
          <cell r="B18" t="str">
            <v>ﾙﾐｶﾗｲﾄ6ｲﾝﾁ for camping RED</v>
          </cell>
        </row>
        <row r="19">
          <cell r="A19" t="str">
            <v>E00317</v>
          </cell>
          <cell r="B19" t="str">
            <v>ﾙﾐｶﾗｲﾄ6ｲﾝﾁ for camping WHITE</v>
          </cell>
        </row>
        <row r="20">
          <cell r="A20" t="str">
            <v>E00318</v>
          </cell>
          <cell r="B20" t="str">
            <v>ﾙﾐｶﾗｲﾄ6ｲﾝﾁ for camping VIOLET</v>
          </cell>
        </row>
        <row r="21">
          <cell r="A21" t="str">
            <v>E00341</v>
          </cell>
          <cell r="B21" t="str">
            <v>ルミカライト　大閃光　グリーン</v>
          </cell>
        </row>
        <row r="22">
          <cell r="A22" t="str">
            <v>E00342</v>
          </cell>
          <cell r="B22" t="str">
            <v>ルミカライト　大閃光　ブルー</v>
          </cell>
        </row>
        <row r="23">
          <cell r="A23" t="str">
            <v>E00343</v>
          </cell>
          <cell r="B23" t="str">
            <v>ルミカライト　大閃光　ピンク</v>
          </cell>
        </row>
        <row r="24">
          <cell r="A24" t="str">
            <v>E00344</v>
          </cell>
          <cell r="B24" t="str">
            <v>ルミカライト　大閃光　オレンジ</v>
          </cell>
        </row>
        <row r="25">
          <cell r="A25" t="str">
            <v>E00345</v>
          </cell>
          <cell r="B25" t="str">
            <v>ルミカライト　大閃光　イエロー</v>
          </cell>
        </row>
        <row r="26">
          <cell r="A26" t="str">
            <v>E00346</v>
          </cell>
          <cell r="B26" t="str">
            <v>ルミカライト　大閃光　レッド</v>
          </cell>
        </row>
        <row r="27">
          <cell r="A27" t="str">
            <v>E00347</v>
          </cell>
          <cell r="B27" t="str">
            <v>ルミカライト　大閃光　ホワイト</v>
          </cell>
        </row>
        <row r="28">
          <cell r="A28" t="str">
            <v>E00348</v>
          </cell>
          <cell r="B28" t="str">
            <v>ルミカライト　大閃光　バイオレット</v>
          </cell>
        </row>
        <row r="29">
          <cell r="A29" t="str">
            <v>E00349</v>
          </cell>
          <cell r="B29" t="str">
            <v>ルミカライト　大閃光 ﾊﾟｽﾃﾙﾌﾞﾙｰ&lt;浅葱&gt;</v>
          </cell>
        </row>
        <row r="30">
          <cell r="A30" t="str">
            <v>E00350</v>
          </cell>
          <cell r="B30" t="str">
            <v>ルミカライト　大閃光ﾃﾞｨｰﾌﾟﾌﾞﾙｰ&lt;瑠璃&gt;</v>
          </cell>
        </row>
        <row r="31">
          <cell r="A31" t="str">
            <v>E00401</v>
          </cell>
          <cell r="B31" t="str">
            <v>業務用６インチレギュラー25 GREEN</v>
          </cell>
        </row>
        <row r="32">
          <cell r="A32" t="str">
            <v>E00402</v>
          </cell>
          <cell r="B32" t="str">
            <v>業務用６インチレギュラー25 BLUE</v>
          </cell>
        </row>
        <row r="33">
          <cell r="A33" t="str">
            <v>E00403</v>
          </cell>
          <cell r="B33" t="str">
            <v>業務用６インチレギュラー25 PINK</v>
          </cell>
        </row>
        <row r="34">
          <cell r="A34" t="str">
            <v>E00404</v>
          </cell>
          <cell r="B34" t="str">
            <v>業務用６インチレギュラー25 ORANGE</v>
          </cell>
        </row>
        <row r="35">
          <cell r="A35" t="str">
            <v>E00405</v>
          </cell>
          <cell r="B35" t="str">
            <v>業務用６インチレギュラー25 YELLOW</v>
          </cell>
        </row>
        <row r="36">
          <cell r="A36" t="str">
            <v>E00406</v>
          </cell>
          <cell r="B36" t="str">
            <v>業務用６インチレギュラー25 RED</v>
          </cell>
        </row>
        <row r="37">
          <cell r="A37" t="str">
            <v>E00407</v>
          </cell>
          <cell r="B37" t="str">
            <v>業務用６インチレギュラー25 WHITE</v>
          </cell>
        </row>
        <row r="38">
          <cell r="A38" t="str">
            <v>E00408</v>
          </cell>
          <cell r="B38" t="str">
            <v>業務用６インチレギュラー25 VIOLET</v>
          </cell>
        </row>
        <row r="39">
          <cell r="A39" t="str">
            <v>E00409</v>
          </cell>
          <cell r="B39" t="str">
            <v>業務用６インチレギュラー25YELLOW-Hi</v>
          </cell>
        </row>
        <row r="40">
          <cell r="A40" t="str">
            <v>E00410</v>
          </cell>
          <cell r="B40" t="str">
            <v>業務用６インチレギュラー25 PINK-Hi</v>
          </cell>
        </row>
        <row r="41">
          <cell r="A41" t="str">
            <v>E00411</v>
          </cell>
          <cell r="B41" t="str">
            <v>大閃光　金煌　5本入　ｸﾞﾘｰﾝ</v>
          </cell>
        </row>
        <row r="42">
          <cell r="A42" t="str">
            <v>E00412</v>
          </cell>
          <cell r="B42" t="str">
            <v>大閃光　金煌　5本入　ﾌﾞﾙｰ</v>
          </cell>
        </row>
        <row r="43">
          <cell r="A43" t="str">
            <v>E00413</v>
          </cell>
          <cell r="B43" t="str">
            <v>大閃光　金煌　5本入　ﾋﾟﾝｸ</v>
          </cell>
        </row>
        <row r="44">
          <cell r="A44" t="str">
            <v>E00414</v>
          </cell>
          <cell r="B44" t="str">
            <v>大閃光　金煌　5本入　ｵﾚﾝｼﾞ</v>
          </cell>
        </row>
        <row r="45">
          <cell r="A45" t="str">
            <v>E00415</v>
          </cell>
          <cell r="B45" t="str">
            <v>大閃光　金煌　5本入　ｲｴﾛｰ</v>
          </cell>
        </row>
        <row r="46">
          <cell r="A46" t="str">
            <v>E00416</v>
          </cell>
          <cell r="B46" t="str">
            <v>大閃光　金煌　5本入　ﾚｯﾄﾞ</v>
          </cell>
        </row>
        <row r="47">
          <cell r="A47" t="str">
            <v>E00417</v>
          </cell>
          <cell r="B47" t="str">
            <v>大閃光　金煌　5本入　ﾎﾜｲﾄ</v>
          </cell>
        </row>
        <row r="48">
          <cell r="A48" t="str">
            <v>E00418</v>
          </cell>
          <cell r="B48" t="str">
            <v>大閃光　金煌　5本入　ﾊﾞｲｵﾚｯﾄ</v>
          </cell>
        </row>
        <row r="49">
          <cell r="A49" t="str">
            <v>E00432</v>
          </cell>
          <cell r="B49" t="str">
            <v>業務用 6ｲﾝﾁﾚｷﾞｭﾗｰ25 ﾊﾟｽﾃﾙBLUE</v>
          </cell>
        </row>
        <row r="50">
          <cell r="A50" t="str">
            <v>E00433</v>
          </cell>
          <cell r="B50" t="str">
            <v>業務用 6ｲﾝﾁﾚｷﾞｭﾗｰ25 ﾊﾟｽﾃﾙPINK</v>
          </cell>
        </row>
        <row r="51">
          <cell r="A51" t="str">
            <v>E00435</v>
          </cell>
          <cell r="B51" t="str">
            <v>業務用 6ｲﾝﾁﾚｷﾞｭﾗｰ25 ﾊﾟｽﾃﾙYELLOW</v>
          </cell>
        </row>
        <row r="52">
          <cell r="A52" t="str">
            <v>E00436</v>
          </cell>
          <cell r="B52" t="str">
            <v>大閃光(アーク)極DXオレンジ　10本入</v>
          </cell>
        </row>
        <row r="53">
          <cell r="A53" t="str">
            <v>E00451</v>
          </cell>
          <cell r="B53" t="str">
            <v>業務用６インチレギュラーPP25 GREEN</v>
          </cell>
        </row>
        <row r="54">
          <cell r="A54" t="str">
            <v>E00452</v>
          </cell>
          <cell r="B54" t="str">
            <v>業務用６インチレギュラーPP25 BLUE</v>
          </cell>
        </row>
        <row r="55">
          <cell r="A55" t="str">
            <v>E00453</v>
          </cell>
          <cell r="B55" t="str">
            <v>業務用６インチレギュラーPP25 PINK</v>
          </cell>
        </row>
        <row r="56">
          <cell r="A56" t="str">
            <v>E00454</v>
          </cell>
          <cell r="B56" t="str">
            <v>業務用６インチレギュラーPP25 ORANGE</v>
          </cell>
        </row>
        <row r="57">
          <cell r="A57" t="str">
            <v>E00455</v>
          </cell>
          <cell r="B57" t="str">
            <v>業務用６インチレギュラーPP25 YELLOW</v>
          </cell>
        </row>
        <row r="58">
          <cell r="A58" t="str">
            <v>E00456</v>
          </cell>
          <cell r="B58" t="str">
            <v>業務用６インチレギュラーPP25 RED</v>
          </cell>
        </row>
        <row r="59">
          <cell r="A59" t="str">
            <v>E00457</v>
          </cell>
          <cell r="B59" t="str">
            <v>業務用６インチレギュラーPP25 WHITE</v>
          </cell>
        </row>
        <row r="60">
          <cell r="A60" t="str">
            <v>E00458</v>
          </cell>
          <cell r="B60" t="str">
            <v>業務用６インチレギュラーPP25 VIOLET</v>
          </cell>
        </row>
        <row r="61">
          <cell r="A61" t="str">
            <v>E00459</v>
          </cell>
          <cell r="B61" t="str">
            <v>業務用6インチレギュラーPP25YELLOW-Hi</v>
          </cell>
        </row>
        <row r="62">
          <cell r="A62" t="str">
            <v>E00460</v>
          </cell>
          <cell r="B62" t="str">
            <v>業務用６インチレギュラーPP25 PINK-Hi</v>
          </cell>
        </row>
        <row r="63">
          <cell r="A63" t="str">
            <v>E00464</v>
          </cell>
          <cell r="B63" t="str">
            <v>大閃光(アーク)極オレンジ　10本入</v>
          </cell>
        </row>
        <row r="64">
          <cell r="A64" t="str">
            <v>E00471</v>
          </cell>
          <cell r="B64" t="str">
            <v>業務用大閃光PP25 GREEN</v>
          </cell>
        </row>
        <row r="65">
          <cell r="A65" t="str">
            <v>E00472</v>
          </cell>
          <cell r="B65" t="str">
            <v>業務用大閃光PP25 BLUE</v>
          </cell>
        </row>
        <row r="66">
          <cell r="A66" t="str">
            <v>E00473</v>
          </cell>
          <cell r="B66" t="str">
            <v>業務用大閃光PP25 PINK</v>
          </cell>
        </row>
        <row r="67">
          <cell r="A67" t="str">
            <v>E00474</v>
          </cell>
          <cell r="B67" t="str">
            <v>業務用大閃光PP25 ORANGE</v>
          </cell>
        </row>
        <row r="68">
          <cell r="A68" t="str">
            <v>E00475</v>
          </cell>
          <cell r="B68" t="str">
            <v>業務用大閃光PP25 YELLOW</v>
          </cell>
        </row>
        <row r="69">
          <cell r="A69" t="str">
            <v>E00476</v>
          </cell>
          <cell r="B69" t="str">
            <v>業務用大閃光PP25 RED</v>
          </cell>
        </row>
        <row r="70">
          <cell r="A70" t="str">
            <v>E00477</v>
          </cell>
          <cell r="B70" t="str">
            <v>業務用大閃光PP25 WHITE</v>
          </cell>
        </row>
        <row r="71">
          <cell r="A71" t="str">
            <v>E00478</v>
          </cell>
          <cell r="B71" t="str">
            <v>業務用大閃光PP25 VIOLET</v>
          </cell>
        </row>
        <row r="72">
          <cell r="A72" t="str">
            <v>E00479</v>
          </cell>
          <cell r="B72" t="str">
            <v>業務用大閃光PP25 浅葱 PASTEL BLUE</v>
          </cell>
        </row>
        <row r="73">
          <cell r="A73" t="str">
            <v>E00480</v>
          </cell>
          <cell r="B73" t="str">
            <v>業務用大閃光PP25 瑠璃 DEEP BLUE</v>
          </cell>
        </row>
        <row r="74">
          <cell r="A74" t="str">
            <v>E00481</v>
          </cell>
          <cell r="B74" t="str">
            <v>ﾔﾏｷﾞｼ様用大閃光25 ｸﾞﾘｰﾝ</v>
          </cell>
        </row>
        <row r="75">
          <cell r="A75" t="str">
            <v>E00482</v>
          </cell>
          <cell r="B75" t="str">
            <v>ﾔﾏｷﾞｼ様用大閃光25 ﾌﾞﾙｰ</v>
          </cell>
        </row>
        <row r="76">
          <cell r="A76" t="str">
            <v>E00483</v>
          </cell>
          <cell r="B76" t="str">
            <v>ﾔﾏｷﾞｼ様用大閃光25 ﾋﾟﾝｸ</v>
          </cell>
        </row>
        <row r="77">
          <cell r="A77" t="str">
            <v>E00484</v>
          </cell>
          <cell r="B77" t="str">
            <v>ﾔﾏｷﾞｼ様用大閃光25 ｵﾚﾝｼﾞ</v>
          </cell>
        </row>
        <row r="78">
          <cell r="A78" t="str">
            <v>E00485</v>
          </cell>
          <cell r="B78" t="str">
            <v>ﾔﾏｷﾞｼ様用大閃光25 ｲｴﾛｰ</v>
          </cell>
        </row>
        <row r="79">
          <cell r="A79" t="str">
            <v>E00486</v>
          </cell>
          <cell r="B79" t="str">
            <v>ﾔﾏｷﾞｼ様用大閃光25 ﾚｯﾄﾞ</v>
          </cell>
        </row>
        <row r="80">
          <cell r="A80" t="str">
            <v>E00487</v>
          </cell>
          <cell r="B80" t="str">
            <v>ﾔﾏｷﾞｼ様用大閃光25 ﾎﾜｲﾄ</v>
          </cell>
        </row>
        <row r="81">
          <cell r="A81" t="str">
            <v>E00488</v>
          </cell>
          <cell r="B81" t="str">
            <v>ﾔﾏｷﾞｼ様用大閃光25 ﾊﾞｲｵﾚｯﾄ</v>
          </cell>
        </row>
        <row r="82">
          <cell r="A82" t="str">
            <v>E00489</v>
          </cell>
          <cell r="B82" t="str">
            <v>ﾔﾏｷﾞｼ様用大閃光25 ﾊﾟｽﾃﾙﾌﾞﾙｰ&lt;浅葱&gt;</v>
          </cell>
        </row>
        <row r="83">
          <cell r="A83" t="str">
            <v>E00490</v>
          </cell>
          <cell r="B83" t="str">
            <v>ﾔﾏｷﾞｼ様用大閃光25 ﾃﾞｨｰﾌﾟﾌﾞﾙｰ&lt;瑠璃&gt;</v>
          </cell>
        </row>
        <row r="84">
          <cell r="A84" t="str">
            <v>E00491</v>
          </cell>
          <cell r="B84" t="str">
            <v>ﾔﾏｷﾞｼ様用大閃光25ﾍﾟﾊﾟｰﾐﾝﾄｸﾞﾘｰﾝ&lt;翡翠&gt;</v>
          </cell>
        </row>
        <row r="85">
          <cell r="A85" t="str">
            <v>E00492</v>
          </cell>
          <cell r="B85" t="str">
            <v>ﾔﾏｷﾞｼ様用大閃光極25</v>
          </cell>
        </row>
        <row r="86">
          <cell r="A86" t="str">
            <v>E00493</v>
          </cell>
          <cell r="B86" t="str">
            <v>ルミカライト大閃光極Re.（1本入）</v>
          </cell>
        </row>
        <row r="87">
          <cell r="A87" t="str">
            <v>E00494</v>
          </cell>
          <cell r="B87" t="str">
            <v>(アイマス)ルミカライト大閃光極Re.</v>
          </cell>
        </row>
        <row r="88">
          <cell r="A88" t="str">
            <v>E00496</v>
          </cell>
          <cell r="B88" t="str">
            <v>ﾙﾐｶﾗｲﾄ大閃光 FTF2025 ｵﾘｼﾞﾅﾙﾊﾟｯｹｰｼﾞ</v>
          </cell>
        </row>
        <row r="89">
          <cell r="A89" t="str">
            <v>E00501</v>
          </cell>
          <cell r="B89" t="str">
            <v>６インチレギュラー(アーク)ｸﾞﾘｰﾝ</v>
          </cell>
        </row>
        <row r="90">
          <cell r="A90" t="str">
            <v>E00502</v>
          </cell>
          <cell r="B90" t="str">
            <v>６インチレギュラー(アーク)ﾌﾞﾙｰ</v>
          </cell>
        </row>
        <row r="91">
          <cell r="A91" t="str">
            <v>E00503</v>
          </cell>
          <cell r="B91" t="str">
            <v>６インチレギュラー(アーク)ﾋﾟﾝｸ</v>
          </cell>
        </row>
        <row r="92">
          <cell r="A92" t="str">
            <v>E00504</v>
          </cell>
          <cell r="B92" t="str">
            <v>６インチレギュラー(アーク)ｵﾚﾝｼﾞ</v>
          </cell>
        </row>
        <row r="93">
          <cell r="A93" t="str">
            <v>E00505</v>
          </cell>
          <cell r="B93" t="str">
            <v>６インチレギュラー(アーク)ｲｴﾛｰ</v>
          </cell>
        </row>
        <row r="94">
          <cell r="A94" t="str">
            <v>E00506</v>
          </cell>
          <cell r="B94" t="str">
            <v>６インチレギュラー(アーク)ﾚｯﾄﾞ</v>
          </cell>
        </row>
        <row r="95">
          <cell r="A95" t="str">
            <v>E00507</v>
          </cell>
          <cell r="B95" t="str">
            <v>６インチレギュラー(アーク)ﾎﾜｲﾄ</v>
          </cell>
        </row>
        <row r="96">
          <cell r="A96" t="str">
            <v>E00508</v>
          </cell>
          <cell r="B96" t="str">
            <v>６インチレギュラー(アーク)ﾊﾞｲｵﾚｯﾄ</v>
          </cell>
        </row>
        <row r="97">
          <cell r="A97" t="str">
            <v>E00509</v>
          </cell>
          <cell r="B97" t="str">
            <v>６インチレギュラー(アーク)高輝度ｲｴﾛｰ</v>
          </cell>
        </row>
        <row r="98">
          <cell r="A98" t="str">
            <v>E00510</v>
          </cell>
          <cell r="B98" t="str">
            <v>６インチレギュラー(アーク)高輝度ﾋﾟﾝｸ</v>
          </cell>
        </row>
        <row r="99">
          <cell r="A99" t="str">
            <v>E00521</v>
          </cell>
          <cell r="B99" t="str">
            <v>6ｲﾝﾁﾚｷﾞｭﾗｰ(ｱｰｸ)ｸﾞﾘｰﾝ 10本入</v>
          </cell>
        </row>
        <row r="100">
          <cell r="A100" t="str">
            <v>E00522</v>
          </cell>
          <cell r="B100" t="str">
            <v>6ｲﾝﾁﾚｷﾞｭﾗｰ(ｱｰｸ)ﾌﾞﾙｰ 10本入</v>
          </cell>
        </row>
        <row r="101">
          <cell r="A101" t="str">
            <v>E00523</v>
          </cell>
          <cell r="B101" t="str">
            <v>6ｲﾝﾁﾚｷﾞｭﾗｰ(ｱｰｸ)ﾋﾟﾝｸ 10本入</v>
          </cell>
        </row>
        <row r="102">
          <cell r="A102" t="str">
            <v>E00524</v>
          </cell>
          <cell r="B102" t="str">
            <v>6ｲﾝﾁﾚｷﾞｭﾗｰ(ｱｰｸ)ｵﾚﾝｼﾞ 10本入</v>
          </cell>
        </row>
        <row r="103">
          <cell r="A103" t="str">
            <v>E00525</v>
          </cell>
          <cell r="B103" t="str">
            <v>6ｲﾝﾁﾚｷﾞｭﾗｰ(ｱｰｸ)ｲｴﾛｰ 10本入</v>
          </cell>
        </row>
        <row r="104">
          <cell r="A104" t="str">
            <v>E00526</v>
          </cell>
          <cell r="B104" t="str">
            <v>6ｲﾝﾁﾚｷﾞｭﾗｰ(ｱｰｸ)ﾚｯﾄﾞ 10本入</v>
          </cell>
        </row>
        <row r="105">
          <cell r="A105" t="str">
            <v>E00527</v>
          </cell>
          <cell r="B105" t="str">
            <v>6ｲﾝﾁﾚｷﾞｭﾗｰ(ｱｰｸ)ﾎﾜｲﾄ 10本入</v>
          </cell>
        </row>
        <row r="106">
          <cell r="A106" t="str">
            <v>E00528</v>
          </cell>
          <cell r="B106" t="str">
            <v>6ｲﾝﾁﾚｷﾞｭﾗｰ(ｱｰｸ)ﾊﾞｲｵﾚｯﾄ 10本入</v>
          </cell>
        </row>
        <row r="107">
          <cell r="A107" t="str">
            <v>E00531</v>
          </cell>
          <cell r="B107" t="str">
            <v>ﾙﾐｶﾗｲﾄ 大閃光(アーク) 極グリーン</v>
          </cell>
        </row>
        <row r="108">
          <cell r="A108" t="str">
            <v>E00532</v>
          </cell>
          <cell r="B108" t="str">
            <v>ﾙﾐｶﾗｲﾄ 大閃光(アーク) 極ブルー</v>
          </cell>
        </row>
        <row r="109">
          <cell r="A109" t="str">
            <v>E00533</v>
          </cell>
          <cell r="B109" t="str">
            <v>ﾙﾐｶﾗｲﾄ 大閃光(アーク) 極ピンク</v>
          </cell>
        </row>
        <row r="110">
          <cell r="A110" t="str">
            <v>E00535</v>
          </cell>
          <cell r="B110" t="str">
            <v>ﾙﾐｶﾗｲﾄ 大閃光(アーク) 極イエロー</v>
          </cell>
        </row>
        <row r="111">
          <cell r="A111" t="str">
            <v>E00536</v>
          </cell>
          <cell r="B111" t="str">
            <v>ﾙﾐｶﾗｲﾄ 大閃光(アーク) 極レッド</v>
          </cell>
        </row>
        <row r="112">
          <cell r="A112" t="str">
            <v>E00537</v>
          </cell>
          <cell r="B112" t="str">
            <v>ﾙﾐｶﾗｲﾄ 大閃光(アーク) 極ホワイト</v>
          </cell>
        </row>
        <row r="113">
          <cell r="A113" t="str">
            <v>E00538</v>
          </cell>
          <cell r="B113" t="str">
            <v>ﾙﾐｶﾗｲﾄ 大閃光(アーク) 極バイオレット</v>
          </cell>
        </row>
        <row r="114">
          <cell r="A114" t="str">
            <v>E00540</v>
          </cell>
          <cell r="B114" t="str">
            <v>ルミカライト　大閃光(アーク) 極ｵﾚﾝｼﾞ</v>
          </cell>
        </row>
        <row r="115">
          <cell r="A115" t="str">
            <v>E00541</v>
          </cell>
          <cell r="B115" t="str">
            <v>ルミカライト　大閃光(アーク) ｸﾞﾘｰﾝ</v>
          </cell>
        </row>
        <row r="116">
          <cell r="A116" t="str">
            <v>E00542</v>
          </cell>
          <cell r="B116" t="str">
            <v>ルミカライト　大閃光(アーク) ブルー</v>
          </cell>
        </row>
        <row r="117">
          <cell r="A117" t="str">
            <v>E00543</v>
          </cell>
          <cell r="B117" t="str">
            <v>ルミカライト　大閃光(アーク) ピンク</v>
          </cell>
        </row>
        <row r="118">
          <cell r="A118" t="str">
            <v>E00544</v>
          </cell>
          <cell r="B118" t="str">
            <v>ルミカライト　大閃光(アーク) ｵﾚﾝｼﾞ</v>
          </cell>
        </row>
        <row r="119">
          <cell r="A119" t="str">
            <v>E00545</v>
          </cell>
          <cell r="B119" t="str">
            <v>ルミカライト　大閃光(アーク) ｲｴﾛｰ</v>
          </cell>
        </row>
        <row r="120">
          <cell r="A120" t="str">
            <v>E00546</v>
          </cell>
          <cell r="B120" t="str">
            <v>ルミカライト　大閃光(アーク) ﾚｯﾄﾞ</v>
          </cell>
        </row>
        <row r="121">
          <cell r="A121" t="str">
            <v>E00547</v>
          </cell>
          <cell r="B121" t="str">
            <v>ルミカライト　大閃光(アーク) ﾎﾜｲﾄ</v>
          </cell>
        </row>
        <row r="122">
          <cell r="A122" t="str">
            <v>E00548</v>
          </cell>
          <cell r="B122" t="str">
            <v>ルミカライト　大閃光(アーク) ﾊﾞｲｵﾚｯﾄ</v>
          </cell>
        </row>
        <row r="123">
          <cell r="A123" t="str">
            <v>E00549</v>
          </cell>
          <cell r="B123" t="str">
            <v>ﾙﾐｶﾗｲﾄ 大閃光(アーク) ﾊﾟｽﾃﾙﾌﾞﾙｰ浅葱</v>
          </cell>
        </row>
        <row r="124">
          <cell r="A124" t="str">
            <v>E00550</v>
          </cell>
          <cell r="B124" t="str">
            <v>ﾙﾐｶﾗｲﾄ 大閃光(アーク) ﾃﾞｨｰﾌﾟﾌﾞﾙｰ瑠璃</v>
          </cell>
        </row>
        <row r="125">
          <cell r="A125" t="str">
            <v>E00555</v>
          </cell>
          <cell r="B125" t="str">
            <v>ﾙﾐｶﾗｲﾄ 大閃光極EXｵﾚﾝｼﾞ</v>
          </cell>
        </row>
        <row r="126">
          <cell r="A126" t="str">
            <v>E00561</v>
          </cell>
          <cell r="B126" t="str">
            <v>業務用大閃光(ｱｰｸ)25 ｸﾞﾘｰﾝ</v>
          </cell>
        </row>
        <row r="127">
          <cell r="A127" t="str">
            <v>E00562</v>
          </cell>
          <cell r="B127" t="str">
            <v>業務用大閃光(ｱｰｸ)25 ﾌﾞﾙｰ</v>
          </cell>
        </row>
        <row r="128">
          <cell r="A128" t="str">
            <v>E00563</v>
          </cell>
          <cell r="B128" t="str">
            <v>業務用大閃光(ｱｰｸ)25 ﾋﾟﾝｸ</v>
          </cell>
        </row>
        <row r="129">
          <cell r="A129" t="str">
            <v>E00564</v>
          </cell>
          <cell r="B129" t="str">
            <v>業務用大閃光(ｱｰｸ)25 ｵﾚﾝｼﾞ</v>
          </cell>
        </row>
        <row r="130">
          <cell r="A130" t="str">
            <v>E00565</v>
          </cell>
          <cell r="B130" t="str">
            <v>業務用大閃光(ｱｰｸ)25 ｲｴﾛｰ</v>
          </cell>
        </row>
        <row r="131">
          <cell r="A131" t="str">
            <v>E00566</v>
          </cell>
          <cell r="B131" t="str">
            <v>業務用大閃光(ｱｰｸ)25 ﾚｯﾄﾞ</v>
          </cell>
        </row>
        <row r="132">
          <cell r="A132" t="str">
            <v>E00567</v>
          </cell>
          <cell r="B132" t="str">
            <v>業務用大閃光(ｱｰｸ)25 ﾎﾜｲﾄ</v>
          </cell>
        </row>
        <row r="133">
          <cell r="A133" t="str">
            <v>E00568</v>
          </cell>
          <cell r="B133" t="str">
            <v>業務用大閃光(ｱｰｸ)25 ﾊﾞｲｵﾚｯﾄ</v>
          </cell>
        </row>
        <row r="134">
          <cell r="A134" t="str">
            <v>E00569</v>
          </cell>
          <cell r="B134" t="str">
            <v>業務用大閃光(ｱｰｸ)25 ﾊﾟｽﾃﾙﾌﾞﾙｰ浅葱</v>
          </cell>
        </row>
        <row r="135">
          <cell r="A135" t="str">
            <v>E00570</v>
          </cell>
          <cell r="B135" t="str">
            <v>業務用大閃光(ｱｰｸ)25 ﾃﾞｨｰﾌﾟﾌﾞﾙｰ瑠璃</v>
          </cell>
        </row>
        <row r="136">
          <cell r="A136" t="str">
            <v>E00571</v>
          </cell>
          <cell r="B136" t="str">
            <v>業務用大閃光(ｱｰｸ)25ﾍﾟﾊﾟｰﾐﾝﾄｸﾞﾘｰﾝ翡翠</v>
          </cell>
        </row>
        <row r="137">
          <cell r="A137" t="str">
            <v>E00572</v>
          </cell>
          <cell r="B137" t="str">
            <v>業務用大閃光(ｱｰｸ)25 極 ｵﾚﾝｼﾞ</v>
          </cell>
        </row>
        <row r="138">
          <cell r="A138" t="str">
            <v>E00574</v>
          </cell>
          <cell r="B138" t="str">
            <v>業務用大閃光(ｱｰｸ)25 ﾋﾞﾋﾞｯﾄﾋﾟﾝｸ紅桜</v>
          </cell>
        </row>
        <row r="139">
          <cell r="A139" t="str">
            <v>E00575</v>
          </cell>
          <cell r="B139" t="str">
            <v>業務用大閃光(ｱｰｸ)25 ｺﾞｰﾙﾃﾞﾝｲｴﾛｰ山吹</v>
          </cell>
        </row>
        <row r="140">
          <cell r="A140" t="str">
            <v>E00576</v>
          </cell>
          <cell r="B140" t="str">
            <v>業務用大閃光(ｱｰｸ)25 ﾃﾞｨｰﾌﾟｸﾞﾘｰﾝ萌葱</v>
          </cell>
        </row>
        <row r="141">
          <cell r="A141" t="str">
            <v>E00577</v>
          </cell>
          <cell r="B141" t="str">
            <v>でらなんなん様用大閃光(ｱｰｸ)極ｵﾚﾝｼﾞ25</v>
          </cell>
        </row>
        <row r="142">
          <cell r="A142" t="str">
            <v>E00581</v>
          </cell>
          <cell r="B142" t="str">
            <v>業務用6ｲﾝﾁﾚｷﾞｭﾗｰ(ｱｰｸ)25ｸﾞﾘｰﾝ</v>
          </cell>
        </row>
        <row r="143">
          <cell r="A143" t="str">
            <v>E00591</v>
          </cell>
          <cell r="B143" t="str">
            <v>大閃光(アーク)極グリーン　10本入</v>
          </cell>
        </row>
        <row r="144">
          <cell r="A144" t="str">
            <v>E00592</v>
          </cell>
          <cell r="B144" t="str">
            <v>大閃光(アーク)極ブルー　10本入</v>
          </cell>
        </row>
        <row r="145">
          <cell r="A145" t="str">
            <v>E00593</v>
          </cell>
          <cell r="B145" t="str">
            <v>大閃光(アーク)極ピンク　10本入</v>
          </cell>
        </row>
        <row r="146">
          <cell r="A146" t="str">
            <v>E00595</v>
          </cell>
          <cell r="B146" t="str">
            <v>大閃光(アーク)極イエロー　10本入</v>
          </cell>
        </row>
        <row r="147">
          <cell r="A147" t="str">
            <v>E00596</v>
          </cell>
          <cell r="B147" t="str">
            <v>大閃光(アーク)極レッド　10本入</v>
          </cell>
        </row>
        <row r="148">
          <cell r="A148" t="str">
            <v>E00597</v>
          </cell>
          <cell r="B148" t="str">
            <v>大閃光(アーク)極ホワイト　10本入</v>
          </cell>
        </row>
        <row r="149">
          <cell r="A149" t="str">
            <v>E00598</v>
          </cell>
          <cell r="B149" t="str">
            <v>大閃光(アーク)極バイオレット　10本入</v>
          </cell>
        </row>
        <row r="150">
          <cell r="A150" t="str">
            <v>E00381</v>
          </cell>
          <cell r="B150" t="str">
            <v>６インチレギュラー(名入れ) GREEN</v>
          </cell>
        </row>
        <row r="151">
          <cell r="A151" t="str">
            <v>E00382</v>
          </cell>
          <cell r="B151" t="str">
            <v>６インチレギュラー(名入れ) BLUE</v>
          </cell>
        </row>
        <row r="152">
          <cell r="A152" t="str">
            <v>E00383</v>
          </cell>
          <cell r="B152" t="str">
            <v>６インチレギュラー(名入れ) PINK</v>
          </cell>
        </row>
        <row r="153">
          <cell r="A153" t="str">
            <v>E00384</v>
          </cell>
          <cell r="B153" t="str">
            <v>６インチレギュラー(名入れ) ORANGE</v>
          </cell>
        </row>
        <row r="154">
          <cell r="A154" t="str">
            <v>E00385</v>
          </cell>
          <cell r="B154" t="str">
            <v>６インチレギュラー(名入れ) YELLOW</v>
          </cell>
        </row>
        <row r="155">
          <cell r="A155" t="str">
            <v>E00386</v>
          </cell>
          <cell r="B155" t="str">
            <v>６インチレギュラー(名入れ) RED</v>
          </cell>
        </row>
        <row r="156">
          <cell r="A156" t="str">
            <v>E00387</v>
          </cell>
          <cell r="B156" t="str">
            <v>６インチレギュラー(名入れ) WHITE</v>
          </cell>
        </row>
        <row r="157">
          <cell r="A157" t="str">
            <v>E00388</v>
          </cell>
          <cell r="B157" t="str">
            <v>６インチレギュラー(名入れ) VIOLET</v>
          </cell>
        </row>
        <row r="158">
          <cell r="A158" t="str">
            <v>E00389</v>
          </cell>
          <cell r="B158" t="str">
            <v>６インチレギュラー(名入れ) PINK-Hi</v>
          </cell>
        </row>
        <row r="159">
          <cell r="A159" t="str">
            <v>E00390</v>
          </cell>
          <cell r="B159" t="str">
            <v>６インチレギュラー(名入れ) YELLOW-Hi</v>
          </cell>
        </row>
        <row r="160">
          <cell r="A160" t="str">
            <v>E00391</v>
          </cell>
          <cell r="B160" t="str">
            <v>６インチレギュラー(名入れ) ﾊﾟｽﾃﾙBLUE</v>
          </cell>
        </row>
        <row r="161">
          <cell r="A161" t="str">
            <v>E00392</v>
          </cell>
          <cell r="B161" t="str">
            <v>６インチレギュラー(名入れ) ﾊﾟｽﾃﾙPINK</v>
          </cell>
        </row>
        <row r="162">
          <cell r="A162" t="str">
            <v>E00393</v>
          </cell>
          <cell r="B162" t="str">
            <v>６インチレギュラー(名入) ﾊﾟｽﾃﾙYELLOW</v>
          </cell>
        </row>
      </sheetData>
      <sheetData sheetId="4">
        <row r="1">
          <cell r="B1"/>
        </row>
        <row r="2">
          <cell r="B2" t="str">
            <v>ﾉｳﾞｪﾙﾃｲ-INV.</v>
          </cell>
        </row>
        <row r="3">
          <cell r="A3" t="str">
            <v>CODE</v>
          </cell>
          <cell r="B3" t="str">
            <v>製品名　</v>
          </cell>
        </row>
        <row r="4">
          <cell r="A4" t="str">
            <v>E01381</v>
          </cell>
          <cell r="B4" t="str">
            <v>Lumi Ace専用フィルム グリーン</v>
          </cell>
        </row>
        <row r="5">
          <cell r="A5" t="str">
            <v>E01382</v>
          </cell>
          <cell r="B5" t="str">
            <v>Lumi Ace専用フィルム ブルー</v>
          </cell>
        </row>
        <row r="6">
          <cell r="A6" t="str">
            <v>E01383</v>
          </cell>
          <cell r="B6" t="str">
            <v>Lumi Ace専用フィルム ピンク</v>
          </cell>
        </row>
        <row r="7">
          <cell r="A7" t="str">
            <v>E01385</v>
          </cell>
          <cell r="B7" t="str">
            <v>Lumi Ace専用フィルム イエロー</v>
          </cell>
        </row>
        <row r="8">
          <cell r="A8" t="str">
            <v>E01393</v>
          </cell>
          <cell r="B8" t="str">
            <v>Lumi Tube2 マット</v>
          </cell>
        </row>
        <row r="9">
          <cell r="A9" t="str">
            <v>E05101</v>
          </cell>
          <cell r="B9" t="str">
            <v>１．５インチセット　GREEN</v>
          </cell>
        </row>
        <row r="10">
          <cell r="A10" t="str">
            <v>E05102</v>
          </cell>
          <cell r="B10" t="str">
            <v>１．５インチセット　BLUE</v>
          </cell>
        </row>
        <row r="11">
          <cell r="A11" t="str">
            <v>E05103</v>
          </cell>
          <cell r="B11" t="str">
            <v>1.5インチ5本セット　ピンク</v>
          </cell>
        </row>
        <row r="12">
          <cell r="A12" t="str">
            <v>E05106</v>
          </cell>
          <cell r="B12" t="str">
            <v>ﾙﾐｶﾗｲﾄ ﾐﾘﾀﾘｰ1.5ｲﾝﾁ5本ｾｯﾄ ｸﾞﾘｰﾝ</v>
          </cell>
        </row>
        <row r="13">
          <cell r="A13" t="str">
            <v>E05107</v>
          </cell>
          <cell r="B13" t="str">
            <v>ﾙﾐｶﾗｲﾄ ﾐﾘﾀﾘｰ1.5ｲﾝﾁ5本ｾｯﾄ ﾚｯﾄﾞ</v>
          </cell>
        </row>
        <row r="14">
          <cell r="A14" t="str">
            <v>E05201</v>
          </cell>
          <cell r="B14" t="str">
            <v>業務用　１．５インチ　GREEN</v>
          </cell>
        </row>
        <row r="15">
          <cell r="A15" t="str">
            <v>E05202</v>
          </cell>
          <cell r="B15" t="str">
            <v>業務用　１．５インチ　BLUE</v>
          </cell>
        </row>
        <row r="16">
          <cell r="A16" t="str">
            <v>E05203</v>
          </cell>
          <cell r="B16" t="str">
            <v>業務用　１．５インチ　PINK</v>
          </cell>
        </row>
        <row r="17">
          <cell r="A17" t="str">
            <v>E05204</v>
          </cell>
          <cell r="B17" t="str">
            <v>業務用　１．５インチ　ORANGE</v>
          </cell>
        </row>
        <row r="18">
          <cell r="A18" t="str">
            <v>E05205</v>
          </cell>
          <cell r="B18" t="str">
            <v>業務用　１．５インチ　YELLOW</v>
          </cell>
        </row>
        <row r="19">
          <cell r="A19" t="str">
            <v>E05301</v>
          </cell>
          <cell r="B19" t="str">
            <v>2インチ5本セット　グリーン</v>
          </cell>
        </row>
        <row r="20">
          <cell r="A20" t="str">
            <v>E05302</v>
          </cell>
          <cell r="B20" t="str">
            <v>2インチ5本セット　ブルー</v>
          </cell>
        </row>
        <row r="21">
          <cell r="A21" t="str">
            <v>E05303</v>
          </cell>
          <cell r="B21" t="str">
            <v>2インチ5本セット　ピンク</v>
          </cell>
        </row>
        <row r="22">
          <cell r="A22" t="str">
            <v>E05306</v>
          </cell>
          <cell r="B22" t="str">
            <v>ﾙﾐｶﾗｲﾄ ﾐﾘﾀﾘｰ2ｲﾝﾁ5本ｾｯﾄ ｸﾞﾘｰﾝ</v>
          </cell>
        </row>
        <row r="23">
          <cell r="A23" t="str">
            <v>E05307</v>
          </cell>
          <cell r="B23" t="str">
            <v>ﾙﾐｶﾗｲﾄ ﾐﾘﾀﾘｰ2ｲﾝﾁ5本ｾｯﾄ ﾚｯﾄﾞ</v>
          </cell>
        </row>
        <row r="24">
          <cell r="A24" t="str">
            <v>E05311</v>
          </cell>
          <cell r="B24" t="str">
            <v>ﾙﾐｶﾗｲﾄ2ｲﾝﾁ for camping グリーン5本入</v>
          </cell>
        </row>
        <row r="25">
          <cell r="A25" t="str">
            <v>E05312</v>
          </cell>
          <cell r="B25" t="str">
            <v>ﾙﾐｶﾗｲﾄ2ｲﾝﾁ for camping ピンク5本入</v>
          </cell>
        </row>
        <row r="26">
          <cell r="A26" t="str">
            <v>E05401</v>
          </cell>
          <cell r="B26" t="str">
            <v>業務用　２インチ　GREEN</v>
          </cell>
        </row>
        <row r="27">
          <cell r="A27" t="str">
            <v>E05402</v>
          </cell>
          <cell r="B27" t="str">
            <v>業務用　２インチ　BLUE</v>
          </cell>
        </row>
        <row r="28">
          <cell r="A28" t="str">
            <v>E05403</v>
          </cell>
          <cell r="B28" t="str">
            <v>業務用　２インチ　YELLOW</v>
          </cell>
        </row>
        <row r="29">
          <cell r="A29" t="str">
            <v>E05404</v>
          </cell>
          <cell r="B29" t="str">
            <v>業務用　２インチ　PINK</v>
          </cell>
        </row>
        <row r="30">
          <cell r="A30" t="str">
            <v>E05405</v>
          </cell>
          <cell r="B30" t="str">
            <v>業務用　２インチ　ORANGE</v>
          </cell>
        </row>
        <row r="31">
          <cell r="A31" t="str">
            <v>E05502</v>
          </cell>
          <cell r="B31" t="str">
            <v>３インチ　BLUE</v>
          </cell>
        </row>
        <row r="32">
          <cell r="A32" t="str">
            <v>E05503</v>
          </cell>
          <cell r="B32" t="str">
            <v>３インチ　PINK</v>
          </cell>
        </row>
        <row r="33">
          <cell r="A33" t="str">
            <v>E05511</v>
          </cell>
          <cell r="B33" t="str">
            <v>3インチ5本セット　グリーン</v>
          </cell>
        </row>
        <row r="34">
          <cell r="A34" t="str">
            <v>E05601</v>
          </cell>
          <cell r="B34" t="str">
            <v>業務用　３インチ　GREEN</v>
          </cell>
        </row>
        <row r="35">
          <cell r="A35" t="str">
            <v>E05602</v>
          </cell>
          <cell r="B35" t="str">
            <v>業務用　３インチ　BLUE</v>
          </cell>
        </row>
        <row r="36">
          <cell r="A36" t="str">
            <v>E05603</v>
          </cell>
          <cell r="B36" t="str">
            <v>業務用　３インチ　YELLOW</v>
          </cell>
        </row>
        <row r="37">
          <cell r="A37" t="str">
            <v>E05604</v>
          </cell>
          <cell r="B37" t="str">
            <v>業務用　３インチ　PINK</v>
          </cell>
        </row>
        <row r="38">
          <cell r="A38" t="str">
            <v>E07107</v>
          </cell>
          <cell r="B38" t="str">
            <v>ﾙﾐｶﾗｲﾄ ﾒｶﾞ大閃光ORANGE</v>
          </cell>
        </row>
        <row r="39">
          <cell r="A39" t="str">
            <v>E07121</v>
          </cell>
          <cell r="B39" t="str">
            <v>ﾙﾐｶﾗｲﾄ メガ大閃光GREEN</v>
          </cell>
        </row>
        <row r="40">
          <cell r="A40" t="str">
            <v>E07122</v>
          </cell>
          <cell r="B40" t="str">
            <v>ﾙﾐｶﾗｲﾄ メガ大閃光BLUE</v>
          </cell>
        </row>
        <row r="41">
          <cell r="A41" t="str">
            <v>E07123</v>
          </cell>
          <cell r="B41" t="str">
            <v>ﾙﾐｶﾗｲﾄ メガ大閃光PINK</v>
          </cell>
        </row>
        <row r="42">
          <cell r="A42" t="str">
            <v>E07125</v>
          </cell>
          <cell r="B42" t="str">
            <v>ﾙﾐｶﾗｲﾄ メガ大閃光YELLOW</v>
          </cell>
        </row>
        <row r="43">
          <cell r="A43" t="str">
            <v>E07126</v>
          </cell>
          <cell r="B43" t="str">
            <v>ﾙﾐｶﾗｲﾄ メガ大閃光RED</v>
          </cell>
        </row>
        <row r="44">
          <cell r="A44" t="str">
            <v>E07127</v>
          </cell>
          <cell r="B44" t="str">
            <v>ﾙﾐｶﾗｲﾄ メガ大閃光WHITE</v>
          </cell>
        </row>
        <row r="45">
          <cell r="A45" t="str">
            <v>E07128</v>
          </cell>
          <cell r="B45" t="str">
            <v>ﾙﾐｶﾗｲﾄ メガ大閃光VIOLET</v>
          </cell>
        </row>
        <row r="46">
          <cell r="A46" t="str">
            <v>E08116</v>
          </cell>
          <cell r="B46" t="str">
            <v>ルミカライト ルナ8 レッド</v>
          </cell>
        </row>
        <row r="47">
          <cell r="A47" t="str">
            <v>E08131</v>
          </cell>
          <cell r="B47" t="str">
            <v>大閃光8　グリーン</v>
          </cell>
        </row>
        <row r="48">
          <cell r="A48" t="str">
            <v>E08132</v>
          </cell>
          <cell r="B48" t="str">
            <v>大閃光8　ブルー</v>
          </cell>
        </row>
        <row r="49">
          <cell r="A49" t="str">
            <v>E08133</v>
          </cell>
          <cell r="B49" t="str">
            <v>大閃光8　ピンク</v>
          </cell>
        </row>
        <row r="50">
          <cell r="A50" t="str">
            <v>E08134</v>
          </cell>
          <cell r="B50" t="str">
            <v>大閃光8　オレンジ</v>
          </cell>
        </row>
        <row r="51">
          <cell r="A51" t="str">
            <v>E08135</v>
          </cell>
          <cell r="B51" t="str">
            <v>大閃光8　イエロー</v>
          </cell>
        </row>
        <row r="52">
          <cell r="A52" t="str">
            <v>E08136</v>
          </cell>
          <cell r="B52" t="str">
            <v>大閃光8　レッド</v>
          </cell>
        </row>
        <row r="53">
          <cell r="A53" t="str">
            <v>E08137</v>
          </cell>
          <cell r="B53" t="str">
            <v>大閃光8　ホワイト</v>
          </cell>
        </row>
        <row r="54">
          <cell r="A54" t="str">
            <v>E08138</v>
          </cell>
          <cell r="B54" t="str">
            <v>大閃光8　バイオレット</v>
          </cell>
        </row>
        <row r="55">
          <cell r="A55" t="str">
            <v>E08181</v>
          </cell>
          <cell r="B55" t="str">
            <v>業務用ルナ8　グリーン10</v>
          </cell>
        </row>
        <row r="56">
          <cell r="A56" t="str">
            <v>E08182</v>
          </cell>
          <cell r="B56" t="str">
            <v>業務用ルナ8　ブルー10</v>
          </cell>
        </row>
        <row r="57">
          <cell r="A57" t="str">
            <v>E08183</v>
          </cell>
          <cell r="B57" t="str">
            <v>業務用ルナ8　ピンク10</v>
          </cell>
        </row>
        <row r="58">
          <cell r="A58" t="str">
            <v>E08184</v>
          </cell>
          <cell r="B58" t="str">
            <v>業務用ルナ8　オレンジ10</v>
          </cell>
        </row>
        <row r="59">
          <cell r="A59" t="str">
            <v>E08185</v>
          </cell>
          <cell r="B59" t="str">
            <v>業務用ルナ8　イエロー10</v>
          </cell>
        </row>
        <row r="60">
          <cell r="A60" t="str">
            <v>E08186</v>
          </cell>
          <cell r="B60" t="str">
            <v>業務用ルナ8　レッド10</v>
          </cell>
        </row>
        <row r="61">
          <cell r="A61" t="str">
            <v>E08187</v>
          </cell>
          <cell r="B61" t="str">
            <v>業務用ルナ8　ホワイト10</v>
          </cell>
        </row>
        <row r="62">
          <cell r="A62" t="str">
            <v>E08188</v>
          </cell>
          <cell r="B62" t="str">
            <v>業務用ルナ8　バイオレット10</v>
          </cell>
        </row>
        <row r="63">
          <cell r="A63" t="str">
            <v>E08189</v>
          </cell>
          <cell r="B63" t="str">
            <v>業務用8(エイト)10本入</v>
          </cell>
        </row>
        <row r="64">
          <cell r="A64" t="str">
            <v>E10001</v>
          </cell>
          <cell r="B64" t="str">
            <v>業務用22インチ50(GBR)</v>
          </cell>
        </row>
        <row r="65">
          <cell r="A65" t="str">
            <v>E10002</v>
          </cell>
          <cell r="B65" t="str">
            <v>業務用22インチ50(RWB)</v>
          </cell>
        </row>
        <row r="66">
          <cell r="A66" t="str">
            <v>E10003</v>
          </cell>
          <cell r="B66" t="str">
            <v>業務用22インチ50(2VG)</v>
          </cell>
        </row>
        <row r="67">
          <cell r="A67" t="str">
            <v>E10004</v>
          </cell>
          <cell r="B67" t="str">
            <v>業務用22インチ50(GBRYP)</v>
          </cell>
        </row>
        <row r="68">
          <cell r="A68" t="str">
            <v>E20111</v>
          </cell>
          <cell r="B68" t="str">
            <v>ﾌﾞﾚｽﾚｯﾄ4本入　GREEN</v>
          </cell>
        </row>
        <row r="69">
          <cell r="A69" t="str">
            <v>E20112</v>
          </cell>
          <cell r="B69" t="str">
            <v>ﾌﾞﾚｽﾚｯﾄ4本入　BLUE</v>
          </cell>
        </row>
        <row r="70">
          <cell r="A70" t="str">
            <v>E20113</v>
          </cell>
          <cell r="B70" t="str">
            <v>ﾌﾞﾚｽﾚｯﾄ4本入　PINK</v>
          </cell>
        </row>
        <row r="71">
          <cell r="A71" t="str">
            <v>E20114</v>
          </cell>
          <cell r="B71" t="str">
            <v>ﾌﾞﾚｽﾚｯﾄ4本入　YELLOW</v>
          </cell>
        </row>
        <row r="72">
          <cell r="A72" t="str">
            <v>E20115</v>
          </cell>
          <cell r="B72" t="str">
            <v>ﾌﾞﾚｽﾚｯﾄ4本入　GBPY</v>
          </cell>
        </row>
        <row r="73">
          <cell r="A73" t="str">
            <v>E20116</v>
          </cell>
          <cell r="B73" t="str">
            <v>ﾌﾞﾚｽﾚｯﾄ4本入　RWOV</v>
          </cell>
        </row>
        <row r="74">
          <cell r="A74" t="str">
            <v>E20117</v>
          </cell>
          <cell r="B74" t="str">
            <v>ﾌﾞﾚｽﾚｯﾄ10色入</v>
          </cell>
        </row>
        <row r="75">
          <cell r="A75" t="str">
            <v>E20118</v>
          </cell>
          <cell r="B75" t="str">
            <v>3色ｸﾞﾗﾃﾞｰｼｮﾝﾌﾞﾚｽﾚｯﾄ 4本入 ﾌｪｱﾘｰ</v>
          </cell>
        </row>
        <row r="76">
          <cell r="A76" t="str">
            <v>E20119</v>
          </cell>
          <cell r="B76" t="str">
            <v>3色ｸﾞﾗﾃﾞｰｼｮﾝﾌﾞﾚｽﾚｯﾄ 4本入 ﾏｰﾒｲﾄﾞ</v>
          </cell>
        </row>
        <row r="77">
          <cell r="A77" t="str">
            <v>E20120</v>
          </cell>
          <cell r="B77" t="str">
            <v>3色ｸﾞﾗﾃﾞｰｼｮﾝﾌﾞﾚｽﾚｯﾄ 4本入 ﾄﾛﾋﾟｶﾙ</v>
          </cell>
        </row>
        <row r="78">
          <cell r="A78" t="str">
            <v>E20121</v>
          </cell>
          <cell r="B78" t="str">
            <v>ﾌﾞﾚｽﾚｯﾄ(ﾚｲﾝﾎﾞｰ/ﾌｧﾝﾀｼﾞｰｱｿｰﾄ)3本入</v>
          </cell>
        </row>
        <row r="79">
          <cell r="A79" t="str">
            <v>E20122</v>
          </cell>
          <cell r="B79" t="str">
            <v>ﾌﾞﾚｽﾚｯﾄ(G/B/P)3本入</v>
          </cell>
        </row>
        <row r="80">
          <cell r="A80" t="str">
            <v>E20123</v>
          </cell>
          <cell r="B80" t="str">
            <v>ﾌﾞﾚｽﾚｯﾄ(O/Y/Pu)3本入</v>
          </cell>
        </row>
        <row r="81">
          <cell r="A81" t="str">
            <v>E20124</v>
          </cell>
          <cell r="B81" t="str">
            <v>ﾌﾞﾚｽﾚｯﾄ(ﾚｲﾝﾎﾞｰ/ﾌｧﾝﾀｼﾞｰｱｿｰﾄ)2本入</v>
          </cell>
        </row>
        <row r="82">
          <cell r="A82" t="str">
            <v>E20208</v>
          </cell>
          <cell r="B82" t="str">
            <v>ファンタジーブレスレット(PVB)50本入</v>
          </cell>
        </row>
        <row r="83">
          <cell r="A83" t="str">
            <v>E20209</v>
          </cell>
          <cell r="B83" t="str">
            <v>レインボーブレスレット(RGB)50本入</v>
          </cell>
        </row>
        <row r="84">
          <cell r="A84" t="str">
            <v>E20210</v>
          </cell>
          <cell r="B84" t="str">
            <v>業務用ブレスレット50 10色アソート</v>
          </cell>
        </row>
        <row r="85">
          <cell r="A85" t="str">
            <v>E20211</v>
          </cell>
          <cell r="B85" t="str">
            <v>業務用 新ブレスレット50 GREEN</v>
          </cell>
        </row>
        <row r="86">
          <cell r="A86" t="str">
            <v>E20212</v>
          </cell>
          <cell r="B86" t="str">
            <v>業務用 新ブレスレット50 BLUE</v>
          </cell>
        </row>
        <row r="87">
          <cell r="A87" t="str">
            <v>E20213</v>
          </cell>
          <cell r="B87" t="str">
            <v>業務用 新ブレスレット50 PINK</v>
          </cell>
        </row>
        <row r="88">
          <cell r="A88" t="str">
            <v>E20214</v>
          </cell>
          <cell r="B88" t="str">
            <v>業務用 新ブレスレット50 ORANGE</v>
          </cell>
        </row>
        <row r="89">
          <cell r="A89" t="str">
            <v>E20215</v>
          </cell>
          <cell r="B89" t="str">
            <v>業務用 新ブレスレット50 YELLOW</v>
          </cell>
        </row>
        <row r="90">
          <cell r="A90" t="str">
            <v>E20216</v>
          </cell>
          <cell r="B90" t="str">
            <v>業務用 新ブレスレット50 RED</v>
          </cell>
        </row>
        <row r="91">
          <cell r="A91" t="str">
            <v>E20217</v>
          </cell>
          <cell r="B91" t="str">
            <v>業務用 新ブレスレット50 WHITE</v>
          </cell>
        </row>
        <row r="92">
          <cell r="A92" t="str">
            <v>E20218</v>
          </cell>
          <cell r="B92" t="str">
            <v>業務用 新ブレスレット50 VIOLET</v>
          </cell>
        </row>
        <row r="93">
          <cell r="A93" t="str">
            <v>E20221</v>
          </cell>
          <cell r="B93" t="str">
            <v>業務用 新ブレスレット50 PEPPERMINT GREEN</v>
          </cell>
        </row>
        <row r="94">
          <cell r="A94" t="str">
            <v>E20222</v>
          </cell>
          <cell r="B94" t="str">
            <v>業務用 新ブレスレット50 VIVID PINK</v>
          </cell>
        </row>
        <row r="95">
          <cell r="A95" t="str">
            <v>E20281</v>
          </cell>
          <cell r="B95" t="str">
            <v>ヤマギシ様用ブレスレット50グリーン</v>
          </cell>
        </row>
        <row r="96">
          <cell r="A96" t="str">
            <v>E20282</v>
          </cell>
          <cell r="B96" t="str">
            <v>ヤマギシ様用ブレスレット50ブルー</v>
          </cell>
        </row>
        <row r="97">
          <cell r="A97" t="str">
            <v>E20283</v>
          </cell>
          <cell r="B97" t="str">
            <v>ヤマギシ様用ブレスレット50ピンク</v>
          </cell>
        </row>
        <row r="98">
          <cell r="A98" t="str">
            <v>E20284</v>
          </cell>
          <cell r="B98" t="str">
            <v>ヤマギシ様用ブレスレット50オレンジ</v>
          </cell>
        </row>
        <row r="99">
          <cell r="A99" t="str">
            <v>E20285</v>
          </cell>
          <cell r="B99" t="str">
            <v>ヤマギシ様用ブレスレット50イエロー</v>
          </cell>
        </row>
        <row r="100">
          <cell r="A100" t="str">
            <v>E20286</v>
          </cell>
          <cell r="B100" t="str">
            <v>ヤマギシ様用ブレスレット50レッド</v>
          </cell>
        </row>
        <row r="101">
          <cell r="A101" t="str">
            <v>E20287</v>
          </cell>
          <cell r="B101" t="str">
            <v>ヤマギシ様用ブレスレット50ホワイト</v>
          </cell>
        </row>
        <row r="102">
          <cell r="A102" t="str">
            <v>E20288</v>
          </cell>
          <cell r="B102" t="str">
            <v>ヤマギシ様用ブレスレット50バイオレット</v>
          </cell>
        </row>
        <row r="103">
          <cell r="A103" t="str">
            <v>E20289</v>
          </cell>
          <cell r="B103" t="str">
            <v>ヤマギシ様用ブレスレット50　6色ｾｯﾄ</v>
          </cell>
        </row>
        <row r="104">
          <cell r="A104" t="str">
            <v>E20290</v>
          </cell>
          <cell r="B104" t="str">
            <v>ヤマギシ様用ブレスレット50　8色ｾｯﾄ</v>
          </cell>
        </row>
        <row r="105">
          <cell r="A105" t="str">
            <v>E20291</v>
          </cell>
          <cell r="B105" t="str">
            <v>ﾔﾏｷﾞｼ様 業務用ﾌﾞﾚｽﾚｯﾄ10色ｱｿｰﾄ 50本</v>
          </cell>
        </row>
        <row r="106">
          <cell r="A106" t="str">
            <v>E20292</v>
          </cell>
          <cell r="B106" t="str">
            <v>ﾔﾏｷﾞｼ様 業務用ﾌﾞﾚｽﾚｯﾄ10色ｱｿｰﾄ 100本</v>
          </cell>
        </row>
        <row r="107">
          <cell r="A107" t="str">
            <v>E20293</v>
          </cell>
          <cell r="B107" t="str">
            <v>ﾔﾏｷﾞｼ様 業務用ﾌﾞﾚｽﾚｯﾄ10色ｱｿｰﾄ 200本</v>
          </cell>
        </row>
        <row r="108">
          <cell r="A108" t="str">
            <v>E20294</v>
          </cell>
          <cell r="B108" t="str">
            <v>ﾔﾏｷﾞｼ様 業務用ﾌﾞﾚｽﾚｯﾄ10色ｱｿｰﾄ 300本</v>
          </cell>
        </row>
        <row r="109">
          <cell r="A109" t="str">
            <v>E20295</v>
          </cell>
          <cell r="B109" t="str">
            <v>ﾔﾏｷﾞｼ様 業務用ﾌﾞﾚｽﾚｯﾄ10色ｱｿｰﾄ 500本</v>
          </cell>
        </row>
        <row r="110">
          <cell r="A110" t="str">
            <v>E20296</v>
          </cell>
          <cell r="B110" t="str">
            <v>ﾔﾏｷﾞｼ様 業務用ﾌﾞﾚｽﾚｯﾄ10色ｱｿｰﾄ 1000本</v>
          </cell>
        </row>
        <row r="111">
          <cell r="A111" t="str">
            <v>E20426</v>
          </cell>
          <cell r="B111" t="str">
            <v>業務用スーパーブレスレット25　RED</v>
          </cell>
        </row>
        <row r="112">
          <cell r="A112" t="str">
            <v>E20431</v>
          </cell>
          <cell r="B112" t="str">
            <v>業務用スーパーブレスレット25　GREEN</v>
          </cell>
        </row>
        <row r="113">
          <cell r="A113" t="str">
            <v>E20432</v>
          </cell>
          <cell r="B113" t="str">
            <v>業務用スーパーブレスレット25　BLUE</v>
          </cell>
        </row>
        <row r="114">
          <cell r="A114" t="str">
            <v>E20433</v>
          </cell>
          <cell r="B114" t="str">
            <v>業務用スーパーブレスレット25　PINK</v>
          </cell>
        </row>
        <row r="115">
          <cell r="A115" t="str">
            <v>E20434</v>
          </cell>
          <cell r="B115" t="str">
            <v>業務用スーパーブレスレット25　ORANGE</v>
          </cell>
        </row>
        <row r="116">
          <cell r="A116" t="str">
            <v>E20435</v>
          </cell>
          <cell r="B116" t="str">
            <v>業務用スーパーブレスレット25　YELLOW</v>
          </cell>
        </row>
        <row r="117">
          <cell r="A117" t="str">
            <v>E22101</v>
          </cell>
          <cell r="B117" t="str">
            <v>業務用　ナイトライト２０Ｇ</v>
          </cell>
        </row>
        <row r="118">
          <cell r="A118" t="str">
            <v>E22102</v>
          </cell>
          <cell r="B118" t="str">
            <v>業務用　ナイトライト２０Ｂ</v>
          </cell>
        </row>
        <row r="119">
          <cell r="A119" t="str">
            <v>E22103</v>
          </cell>
          <cell r="B119" t="str">
            <v>業務用　ナイトライト２０Ｐ</v>
          </cell>
        </row>
        <row r="120">
          <cell r="A120" t="str">
            <v>E22104</v>
          </cell>
          <cell r="B120" t="str">
            <v>業務用　ナイトライト２０Ｏ</v>
          </cell>
        </row>
        <row r="121">
          <cell r="A121" t="str">
            <v>E22105</v>
          </cell>
          <cell r="B121" t="str">
            <v>業務用　ナイトライト２０Ｙ</v>
          </cell>
        </row>
        <row r="122">
          <cell r="A122" t="str">
            <v>E22106</v>
          </cell>
          <cell r="B122" t="str">
            <v>業務用　ナイトライト２０　２ＹＧ</v>
          </cell>
        </row>
        <row r="123">
          <cell r="A123" t="str">
            <v>E22107</v>
          </cell>
          <cell r="B123" t="str">
            <v>業務用　ナイトライト２０　２ＶＯ</v>
          </cell>
        </row>
        <row r="124">
          <cell r="A124" t="str">
            <v>E22108</v>
          </cell>
          <cell r="B124" t="str">
            <v>業務用　ナイトライト２０Ｒ</v>
          </cell>
        </row>
        <row r="125">
          <cell r="A125" t="str">
            <v>E22109</v>
          </cell>
          <cell r="B125" t="str">
            <v>業務用　ナイトライト２０Ｗ</v>
          </cell>
        </row>
        <row r="126">
          <cell r="A126" t="str">
            <v>E22110</v>
          </cell>
          <cell r="B126" t="str">
            <v>業務用　ナイトライト２０Ｖ</v>
          </cell>
        </row>
        <row r="127">
          <cell r="A127" t="str">
            <v>E22111</v>
          </cell>
          <cell r="B127" t="str">
            <v>業務用　ナイトライト２０ＢＶＲ</v>
          </cell>
        </row>
        <row r="128">
          <cell r="A128" t="str">
            <v>E22112</v>
          </cell>
          <cell r="B128" t="str">
            <v>業務用　ナイトライト２０ＢＹＰ</v>
          </cell>
        </row>
        <row r="129">
          <cell r="A129" t="str">
            <v>E22113</v>
          </cell>
          <cell r="B129" t="str">
            <v>業務用　ナイトライト２０ＧＹＲ</v>
          </cell>
        </row>
        <row r="130">
          <cell r="A130" t="str">
            <v>E22114</v>
          </cell>
          <cell r="B130" t="str">
            <v>業務用　ナイトライト２０ PASTEL BLUE</v>
          </cell>
        </row>
        <row r="131">
          <cell r="A131" t="str">
            <v>E22190</v>
          </cell>
          <cell r="B131" t="str">
            <v>業務用　ナイトライト２０ＧＢＰ</v>
          </cell>
        </row>
        <row r="132">
          <cell r="A132" t="str">
            <v>E25101</v>
          </cell>
          <cell r="B132" t="str">
            <v>パーティーイヤリング　 GREEN</v>
          </cell>
        </row>
        <row r="133">
          <cell r="A133" t="str">
            <v>E25102</v>
          </cell>
          <cell r="B133" t="str">
            <v>パーティーイヤリング　 BLUE</v>
          </cell>
        </row>
        <row r="134">
          <cell r="A134" t="str">
            <v>E25103</v>
          </cell>
          <cell r="B134" t="str">
            <v>パーティーイヤリング　 PINK</v>
          </cell>
        </row>
        <row r="135">
          <cell r="A135" t="str">
            <v>E25190</v>
          </cell>
          <cell r="B135" t="str">
            <v>ベンダー光るイヤリング　ＢＰ</v>
          </cell>
        </row>
        <row r="136">
          <cell r="A136" t="str">
            <v>E27303</v>
          </cell>
          <cell r="B136" t="str">
            <v>ファンシーバトン　Ｐ　ハート</v>
          </cell>
        </row>
        <row r="137">
          <cell r="A137" t="str">
            <v>E27305</v>
          </cell>
          <cell r="B137" t="str">
            <v>ファンシーバトン　Ｙ　スター</v>
          </cell>
        </row>
        <row r="138">
          <cell r="A138" t="str">
            <v>E29800</v>
          </cell>
          <cell r="B138" t="str">
            <v>光る棒人間 ネオンパーティー</v>
          </cell>
        </row>
        <row r="139">
          <cell r="A139" t="str">
            <v>E29904</v>
          </cell>
          <cell r="B139" t="str">
            <v>光るルミカメガネ グリーン</v>
          </cell>
        </row>
        <row r="140">
          <cell r="A140" t="str">
            <v>E29905</v>
          </cell>
          <cell r="B140" t="str">
            <v>光るルミカメガネ ブルー</v>
          </cell>
        </row>
        <row r="141">
          <cell r="A141" t="str">
            <v>E29906</v>
          </cell>
          <cell r="B141" t="str">
            <v>光るルミカメガネ ピンク</v>
          </cell>
        </row>
        <row r="142">
          <cell r="A142" t="str">
            <v>E29907</v>
          </cell>
          <cell r="B142" t="str">
            <v>光るボール グリーン 5個セット</v>
          </cell>
        </row>
        <row r="143">
          <cell r="A143" t="str">
            <v>E29908</v>
          </cell>
          <cell r="B143" t="str">
            <v>光るボール ブルー 5個セット</v>
          </cell>
        </row>
        <row r="144">
          <cell r="A144" t="str">
            <v>E29909</v>
          </cell>
          <cell r="B144" t="str">
            <v>光るボール ピンク 5個セット</v>
          </cell>
        </row>
        <row r="145">
          <cell r="A145" t="str">
            <v>E29911</v>
          </cell>
          <cell r="B145" t="str">
            <v>光るルミカカチューシャ グリーン</v>
          </cell>
        </row>
        <row r="146">
          <cell r="A146" t="str">
            <v>E29912</v>
          </cell>
          <cell r="B146" t="str">
            <v>光るルミカカチューシャ ブルー</v>
          </cell>
        </row>
        <row r="147">
          <cell r="A147" t="str">
            <v>E29913</v>
          </cell>
          <cell r="B147" t="str">
            <v>光るルミカカチューシャ ピンク</v>
          </cell>
        </row>
        <row r="148">
          <cell r="A148" t="str">
            <v>E29940</v>
          </cell>
          <cell r="B148" t="str">
            <v>ロープマーカー</v>
          </cell>
        </row>
        <row r="149">
          <cell r="A149" t="str">
            <v>E29952</v>
          </cell>
          <cell r="B149" t="str">
            <v>ふしぎな実験ｷｯﾄ つかめる水玉</v>
          </cell>
        </row>
        <row r="150">
          <cell r="A150" t="str">
            <v>E29953</v>
          </cell>
          <cell r="B150" t="str">
            <v>化学のﾋｶﾘ水でいろいろな色をつくろう</v>
          </cell>
        </row>
        <row r="151">
          <cell r="A151" t="str">
            <v>E29959</v>
          </cell>
          <cell r="B151" t="str">
            <v>ｷﾗｷﾗﾋﾞｰｽﾞの芳香剤を作ってみよう！</v>
          </cell>
        </row>
        <row r="152">
          <cell r="A152" t="str">
            <v>E29963</v>
          </cell>
          <cell r="B152" t="str">
            <v>ふしぎな実験ｷｯﾄ いきなり凍る魔法の水</v>
          </cell>
        </row>
        <row r="153">
          <cell r="A153" t="str">
            <v>E29964</v>
          </cell>
          <cell r="B153" t="str">
            <v>ふしぎな実験ｷｯﾄ 冷え冷えｶｲﾛ</v>
          </cell>
        </row>
        <row r="154">
          <cell r="A154" t="str">
            <v>E29969</v>
          </cell>
          <cell r="B154" t="str">
            <v>ふしぎな実験ｷｯﾄ ｼｭﾜｼｭﾜあわﾎﾞｰﾙPBｱｿｰﾄ</v>
          </cell>
        </row>
        <row r="155">
          <cell r="A155" t="str">
            <v>E29965</v>
          </cell>
          <cell r="B155" t="str">
            <v>おうちでできる実験ｷｯﾄ 4種類セット</v>
          </cell>
        </row>
        <row r="156">
          <cell r="A156" t="str">
            <v>E29973</v>
          </cell>
          <cell r="B156" t="str">
            <v>おうちでできる実験ｷｯﾄ 4種類セット　B</v>
          </cell>
        </row>
        <row r="157">
          <cell r="A157" t="str">
            <v>E29966</v>
          </cell>
          <cell r="B157" t="str">
            <v>光るアートにチャレンジ</v>
          </cell>
        </row>
        <row r="158">
          <cell r="A158" t="str">
            <v>E29967</v>
          </cell>
          <cell r="B158" t="str">
            <v>φ6mmスティック用　ジョイントセット</v>
          </cell>
        </row>
        <row r="159">
          <cell r="A159" t="str">
            <v>E29968</v>
          </cell>
          <cell r="B159" t="str">
            <v>フラスコで溶岩バブルをつくろう！</v>
          </cell>
        </row>
        <row r="160">
          <cell r="A160" t="str">
            <v>E29972</v>
          </cell>
          <cell r="B160" t="str">
            <v>クローンフィンガーをつくろう！</v>
          </cell>
        </row>
        <row r="161">
          <cell r="A161" t="str">
            <v>E29974</v>
          </cell>
          <cell r="B161" t="str">
            <v>マリンせっけんをつくろう！</v>
          </cell>
        </row>
        <row r="162">
          <cell r="A162" t="str">
            <v>E29975</v>
          </cell>
          <cell r="B162" t="str">
            <v>ふしぎなコースターをつくろう！</v>
          </cell>
        </row>
        <row r="163">
          <cell r="A163" t="str">
            <v>E29976</v>
          </cell>
          <cell r="B163" t="str">
            <v>不思議な粉でｱﾆﾏﾙｽｸｲｰｽﾞをつくろう！</v>
          </cell>
        </row>
        <row r="164">
          <cell r="A164" t="str">
            <v>E29978</v>
          </cell>
          <cell r="B164" t="str">
            <v>ぷるぷるカラフルな水玉をつくろう！</v>
          </cell>
        </row>
        <row r="165">
          <cell r="A165" t="str">
            <v>E29982</v>
          </cell>
          <cell r="B165" t="str">
            <v>てづくりランタンをつくろう！</v>
          </cell>
        </row>
        <row r="166">
          <cell r="A166" t="str">
            <v>E29987</v>
          </cell>
          <cell r="B166" t="str">
            <v>ふしぎな実験ｷｯﾄ 菌やカビとたたかおう</v>
          </cell>
        </row>
        <row r="167">
          <cell r="A167" t="str">
            <v>E29990</v>
          </cell>
          <cell r="B167" t="str">
            <v>ふしぎな実験ｷｯﾄ ｼｭﾜｼｭﾜあわﾎﾞｰﾙBLUE</v>
          </cell>
        </row>
        <row r="168">
          <cell r="A168" t="str">
            <v>E29991</v>
          </cell>
          <cell r="B168" t="str">
            <v>光るロープアート</v>
          </cell>
        </row>
        <row r="169">
          <cell r="A169" t="str">
            <v>E29992</v>
          </cell>
          <cell r="B169" t="str">
            <v>ふしぎな実験キット 溶けない雪</v>
          </cell>
        </row>
        <row r="170">
          <cell r="A170" t="str">
            <v>E29993</v>
          </cell>
          <cell r="B170" t="str">
            <v>ふしぎな実験キット　信号反応</v>
          </cell>
        </row>
        <row r="171">
          <cell r="A171" t="str">
            <v>E29994</v>
          </cell>
          <cell r="B171" t="str">
            <v>ふしぎな実験キット　ｷｬｯﾌﾟdeｽﾀﾝﾌﾟ</v>
          </cell>
        </row>
        <row r="172">
          <cell r="A172" t="str">
            <v>E29995</v>
          </cell>
          <cell r="B172" t="str">
            <v>サンキャッチャーをつくろう！</v>
          </cell>
        </row>
        <row r="173">
          <cell r="A173" t="str">
            <v>E29997</v>
          </cell>
          <cell r="B173" t="str">
            <v>つかめる水玉OEM (ｵﾘｼﾞﾅﾙﾊﾟｯｹｰｼﾞ)</v>
          </cell>
        </row>
        <row r="174">
          <cell r="A174" t="str">
            <v>E30011</v>
          </cell>
          <cell r="B174" t="str">
            <v>おうちでできる　光る結晶の山</v>
          </cell>
        </row>
        <row r="175">
          <cell r="A175" t="str">
            <v>E30012</v>
          </cell>
          <cell r="B175" t="str">
            <v>おうちでできる　色が変わる水</v>
          </cell>
        </row>
        <row r="176">
          <cell r="A176" t="str">
            <v>E30013</v>
          </cell>
          <cell r="B176" t="str">
            <v>おうちでできる　微生物VS除菌のｽﾃｨｯｸ</v>
          </cell>
        </row>
        <row r="177">
          <cell r="A177" t="str">
            <v>E30014</v>
          </cell>
          <cell r="B177" t="str">
            <v>おうちでできる　ふくらむ香りビーズ</v>
          </cell>
        </row>
        <row r="178">
          <cell r="A178" t="str">
            <v>E30015</v>
          </cell>
          <cell r="B178" t="str">
            <v>おうちでできる　いきなり氷る魔法の水</v>
          </cell>
        </row>
        <row r="179">
          <cell r="A179" t="str">
            <v>E30016</v>
          </cell>
          <cell r="B179" t="str">
            <v>おうちでできる　冷え冷えカイロ</v>
          </cell>
        </row>
        <row r="180">
          <cell r="A180" t="str">
            <v>E30017</v>
          </cell>
          <cell r="B180" t="str">
            <v>おうちでできる　化学のヒカリ水ブルー</v>
          </cell>
        </row>
        <row r="181">
          <cell r="A181" t="str">
            <v>E30018</v>
          </cell>
          <cell r="B181" t="str">
            <v>おうちでできる　化学のヒカリ水ピンク</v>
          </cell>
        </row>
        <row r="182">
          <cell r="A182" t="str">
            <v>E30019</v>
          </cell>
          <cell r="B182" t="str">
            <v>おうちでできる　つかめる水玉</v>
          </cell>
        </row>
        <row r="183">
          <cell r="A183" t="str">
            <v>E30020</v>
          </cell>
          <cell r="B183" t="str">
            <v>おうちでできる　あわボール　ブルー</v>
          </cell>
        </row>
        <row r="184">
          <cell r="A184" t="str">
            <v>E30021</v>
          </cell>
          <cell r="B184" t="str">
            <v>おうちでできる　あわボール　ピンク</v>
          </cell>
        </row>
        <row r="185">
          <cell r="A185" t="str">
            <v>E30022</v>
          </cell>
          <cell r="B185" t="str">
            <v>おうちでできる　マジックウォーター</v>
          </cell>
        </row>
        <row r="186">
          <cell r="A186" t="str">
            <v>E30023</v>
          </cell>
          <cell r="B186" t="str">
            <v>おうちでできる てづくりせっけん</v>
          </cell>
        </row>
        <row r="187">
          <cell r="A187" t="str">
            <v>E30024</v>
          </cell>
          <cell r="B187" t="str">
            <v>おうちでできる 色が変化するｱﾒｰﾊﾞｼﾞｪﾙ</v>
          </cell>
        </row>
        <row r="188">
          <cell r="A188" t="str">
            <v>E30025</v>
          </cell>
          <cell r="B188" t="str">
            <v>おうちでできる 溶けない雪</v>
          </cell>
        </row>
        <row r="189">
          <cell r="A189" t="str">
            <v>E30026</v>
          </cell>
          <cell r="B189" t="str">
            <v>お手軽！伝統の紙づくり体験</v>
          </cell>
        </row>
        <row r="190">
          <cell r="A190" t="str">
            <v>E30027</v>
          </cell>
          <cell r="B190" t="str">
            <v>氷の謎を大調査～5つのおもしろ実験～</v>
          </cell>
        </row>
        <row r="191">
          <cell r="A191" t="str">
            <v>E30028</v>
          </cell>
          <cell r="B191" t="str">
            <v>ペットボトルペット～クリオネ～</v>
          </cell>
        </row>
        <row r="192">
          <cell r="A192" t="str">
            <v>E30029</v>
          </cell>
          <cell r="B192" t="str">
            <v>しましまカラフルな消しゴムをつくろう</v>
          </cell>
        </row>
        <row r="193">
          <cell r="A193" t="str">
            <v>E30002</v>
          </cell>
          <cell r="B193" t="str">
            <v>新ふしぎな実験ｷｯﾄ 雪のもと(TW)</v>
          </cell>
        </row>
        <row r="194">
          <cell r="A194" t="str">
            <v>E30031</v>
          </cell>
          <cell r="B194" t="str">
            <v>新ふしぎな実験ｷｯﾄ いきなり凍る水</v>
          </cell>
        </row>
        <row r="195">
          <cell r="A195" t="str">
            <v>E30032</v>
          </cell>
          <cell r="B195" t="str">
            <v>新ふしぎな実験ｷｯﾄ 冷え冷えｶｲﾛ</v>
          </cell>
        </row>
        <row r="196">
          <cell r="A196" t="str">
            <v>E30033</v>
          </cell>
          <cell r="B196" t="str">
            <v>新ふしぎな実験ｷｯﾄ 光る液体</v>
          </cell>
        </row>
        <row r="197">
          <cell r="A197" t="str">
            <v>E30034</v>
          </cell>
          <cell r="B197" t="str">
            <v>新ふしぎな実験ｷｯﾄ つかめる水玉</v>
          </cell>
        </row>
        <row r="198">
          <cell r="A198" t="str">
            <v>E30035</v>
          </cell>
          <cell r="B198" t="str">
            <v>新ふしぎな実験ｷｯﾄ ｼｭﾜｼｭﾜあわﾎﾞｰﾙ</v>
          </cell>
        </row>
        <row r="199">
          <cell r="A199" t="str">
            <v>E30036</v>
          </cell>
          <cell r="B199" t="str">
            <v>新ふしぎな実験ｷｯﾄ 振ると色が変わる水</v>
          </cell>
        </row>
        <row r="200">
          <cell r="A200" t="str">
            <v>E30037</v>
          </cell>
          <cell r="B200" t="str">
            <v>新ふしぎな実験ｷｯﾄ 雪のもと</v>
          </cell>
        </row>
        <row r="201">
          <cell r="A201" t="str">
            <v>E30038</v>
          </cell>
          <cell r="B201" t="str">
            <v>新ふしぎな実験ｷｯﾄ 水のろ過ｷｯﾄ</v>
          </cell>
        </row>
        <row r="202">
          <cell r="A202" t="str">
            <v>E30039</v>
          </cell>
          <cell r="B202" t="str">
            <v>新ふしぎな実験ｷｯﾄ 3Dﾎﾛｸﾞﾗﾑｼｱﾀｰ</v>
          </cell>
        </row>
        <row r="203">
          <cell r="A203" t="str">
            <v>E30040</v>
          </cell>
          <cell r="B203" t="str">
            <v>新ふしぎな実験ｷｯﾄ ｷﾗｷﾗ結晶</v>
          </cell>
        </row>
        <row r="204">
          <cell r="A204" t="str">
            <v>E30041</v>
          </cell>
          <cell r="B204" t="str">
            <v>新ふしぎな実験ｷｯﾄ ｷﾗｷﾗ石けん</v>
          </cell>
        </row>
        <row r="205">
          <cell r="A205" t="str">
            <v>E30042</v>
          </cell>
          <cell r="B205" t="str">
            <v>新ふしぎな実験ｷｯﾄ てづくりﾘﾄﾏｽ試験紙</v>
          </cell>
        </row>
        <row r="206">
          <cell r="A206" t="str">
            <v>E30043</v>
          </cell>
          <cell r="B206" t="str">
            <v>新ふしぎな実験ｷｯﾄ 指紋捜査官ｷｯﾄ</v>
          </cell>
        </row>
        <row r="207">
          <cell r="A207" t="str">
            <v>E30045</v>
          </cell>
          <cell r="B207" t="str">
            <v>結晶育成装置</v>
          </cell>
        </row>
        <row r="208">
          <cell r="A208" t="str">
            <v>E30046</v>
          </cell>
          <cell r="B208" t="str">
            <v>むにゅむにゅキャンバス</v>
          </cell>
        </row>
        <row r="209">
          <cell r="A209" t="str">
            <v>E30047</v>
          </cell>
          <cell r="B209" t="str">
            <v>おうちでできる　ペットボトルスコープ</v>
          </cell>
        </row>
        <row r="210">
          <cell r="A210" t="str">
            <v>E30048</v>
          </cell>
          <cell r="B210" t="str">
            <v>せっけんDIYキット～きょうりゅう～</v>
          </cell>
        </row>
        <row r="211">
          <cell r="A211" t="str">
            <v>E30049</v>
          </cell>
          <cell r="B211" t="str">
            <v>新化学のﾋｶﾘ水でいろいろな色を作ろう</v>
          </cell>
        </row>
        <row r="212">
          <cell r="A212" t="str">
            <v>E30050</v>
          </cell>
          <cell r="B212" t="str">
            <v>せっけんDIYキット～海のいきもの～</v>
          </cell>
        </row>
        <row r="213">
          <cell r="A213" t="str">
            <v>E30051</v>
          </cell>
          <cell r="B213" t="str">
            <v>Co2をあつめよう</v>
          </cell>
        </row>
        <row r="214">
          <cell r="A214" t="str">
            <v>E30052</v>
          </cell>
          <cell r="B214" t="str">
            <v>Co2をとじこめよう</v>
          </cell>
        </row>
        <row r="215">
          <cell r="A215" t="str">
            <v>E30053</v>
          </cell>
          <cell r="B215" t="str">
            <v>ゼンマイの仕組みを知ろう</v>
          </cell>
        </row>
        <row r="216">
          <cell r="A216" t="str">
            <v>E30054</v>
          </cell>
          <cell r="B216" t="str">
            <v>エコカイロの仕組みを知ろう</v>
          </cell>
        </row>
        <row r="217">
          <cell r="A217" t="str">
            <v>E21908</v>
          </cell>
          <cell r="B217" t="str">
            <v>ナイトライト(名入れ) PINK</v>
          </cell>
        </row>
        <row r="218">
          <cell r="A218" t="str">
            <v>E21921</v>
          </cell>
          <cell r="B218" t="str">
            <v>ナイトライト(名入れ) GREEN</v>
          </cell>
        </row>
        <row r="219">
          <cell r="A219" t="str">
            <v>E21922</v>
          </cell>
          <cell r="B219" t="str">
            <v>ナイトライト(名入れ) BLUE</v>
          </cell>
        </row>
        <row r="220">
          <cell r="A220" t="str">
            <v>E21924</v>
          </cell>
          <cell r="B220" t="str">
            <v>ナイトライト(名入れ) ORANGE</v>
          </cell>
        </row>
        <row r="221">
          <cell r="A221" t="str">
            <v>E21925</v>
          </cell>
          <cell r="B221" t="str">
            <v>ナイトライト(名入れ) YELLOW</v>
          </cell>
        </row>
        <row r="222">
          <cell r="A222" t="str">
            <v>E21926</v>
          </cell>
          <cell r="B222" t="str">
            <v>ナイトライト(名入れ) RED</v>
          </cell>
        </row>
        <row r="223">
          <cell r="A223" t="str">
            <v>E21927</v>
          </cell>
          <cell r="B223" t="str">
            <v>ナイトライト(名入れ) WHITE</v>
          </cell>
        </row>
        <row r="224">
          <cell r="A224" t="str">
            <v>E21928</v>
          </cell>
          <cell r="B224" t="str">
            <v>ナイトライト(名入れ) VIOLET</v>
          </cell>
        </row>
        <row r="225">
          <cell r="A225" t="str">
            <v>E21930</v>
          </cell>
          <cell r="B225" t="str">
            <v>ナイトライト(名入れ) GBP</v>
          </cell>
        </row>
      </sheetData>
      <sheetData sheetId="5">
        <row r="1">
          <cell r="B1"/>
        </row>
        <row r="2">
          <cell r="B2" t="str">
            <v>ｾﾚﾓﾆｰINV.</v>
          </cell>
        </row>
        <row r="3">
          <cell r="A3" t="str">
            <v>CODE</v>
          </cell>
          <cell r="B3" t="str">
            <v>製品名　</v>
          </cell>
        </row>
        <row r="4">
          <cell r="A4" t="str">
            <v>E63001</v>
          </cell>
          <cell r="B4" t="str">
            <v>マジックウォーター</v>
          </cell>
        </row>
        <row r="5">
          <cell r="A5" t="str">
            <v>E01021</v>
          </cell>
          <cell r="B5" t="str">
            <v>ﾄﾞﾚｽ色当てｹﾞｰﾑ用ﾙﾐｶﾗｲﾄ10 ｸﾞﾘｰﾝ</v>
          </cell>
        </row>
        <row r="6">
          <cell r="A6" t="str">
            <v>E01022</v>
          </cell>
          <cell r="B6" t="str">
            <v>ﾄﾞﾚｽ色当てｹﾞｰﾑ用ﾙﾐｶﾗｲﾄ10 ﾌﾞﾙｰ</v>
          </cell>
        </row>
        <row r="7">
          <cell r="A7" t="str">
            <v>E01023</v>
          </cell>
          <cell r="B7" t="str">
            <v>ﾄﾞﾚｽ色当てｹﾞｰﾑ用ﾙﾐｶﾗｲﾄ10 ﾋﾟﾝｸ</v>
          </cell>
        </row>
        <row r="8">
          <cell r="A8" t="str">
            <v>E01024</v>
          </cell>
          <cell r="B8" t="str">
            <v>ﾄﾞﾚｽ色当てｹﾞｰﾑ用ﾙﾐｶﾗｲﾄ10 ｵﾚﾝｼﾞ</v>
          </cell>
        </row>
        <row r="9">
          <cell r="A9" t="str">
            <v>E01025</v>
          </cell>
          <cell r="B9" t="str">
            <v>ﾄﾞﾚｽ色当てｹﾞｰﾑ用ﾙﾐｶﾗｲﾄ10 ｲｴﾛｰ</v>
          </cell>
        </row>
        <row r="10">
          <cell r="A10" t="str">
            <v>E01026</v>
          </cell>
          <cell r="B10" t="str">
            <v>ﾄﾞﾚｽ色当てｹﾞｰﾑ用ﾙﾐｶﾗｲﾄ10 ﾚｯﾄﾞ</v>
          </cell>
        </row>
        <row r="11">
          <cell r="A11" t="str">
            <v>E01027</v>
          </cell>
          <cell r="B11" t="str">
            <v>ﾄﾞﾚｽ色当てｹﾞｰﾑ用ﾙﾐｶﾗｲﾄ10 ﾊﾞｲｵﾚｯﾄ</v>
          </cell>
        </row>
        <row r="12">
          <cell r="A12" t="str">
            <v>E01028</v>
          </cell>
          <cell r="B12" t="str">
            <v>ﾄﾞﾚｽ色当てｹﾞｰﾑ用ﾙﾐｶﾗｲﾄ10 ﾎﾜｲﾄ</v>
          </cell>
        </row>
        <row r="13">
          <cell r="A13" t="str">
            <v>E63101</v>
          </cell>
          <cell r="B13" t="str">
            <v>ﾙﾐｶ･ﾌﾙｰﾙ【花びら】100枚</v>
          </cell>
        </row>
        <row r="14">
          <cell r="A14" t="str">
            <v>E63102</v>
          </cell>
          <cell r="B14" t="str">
            <v>ﾙﾐｶ･ﾌﾙｰﾙ【バラ】12本</v>
          </cell>
        </row>
        <row r="15">
          <cell r="A15" t="str">
            <v>E63103</v>
          </cell>
          <cell r="B15" t="str">
            <v>ﾙﾐｶ･ﾌﾙｰﾙ【バラ】宝壽堂様仕様12本</v>
          </cell>
        </row>
        <row r="16">
          <cell r="A16" t="str">
            <v>E63104</v>
          </cell>
          <cell r="B16" t="str">
            <v>ﾙﾐｶ･ﾌﾙｰﾙ【バラ】12本　ｲｴﾛｰ</v>
          </cell>
        </row>
        <row r="17">
          <cell r="A17" t="str">
            <v>E63105</v>
          </cell>
          <cell r="B17" t="str">
            <v>ﾙﾐｶ･ﾌﾙｰﾙ【バラ】12本　ｸﾞﾘｰﾝ</v>
          </cell>
        </row>
        <row r="18">
          <cell r="A18" t="str">
            <v>E63106</v>
          </cell>
          <cell r="B18" t="str">
            <v>ﾙﾐｶ･ﾌﾙｰﾙ【バラ】12本　ﾊﾞｲｵﾚｯﾄ</v>
          </cell>
        </row>
        <row r="19">
          <cell r="A19" t="str">
            <v>E63107</v>
          </cell>
          <cell r="B19" t="str">
            <v>ﾙﾐｶ･ﾌﾙｰﾙ【バラ】12本　ﾋﾟﾝｸ</v>
          </cell>
        </row>
        <row r="20">
          <cell r="A20" t="str">
            <v>E63108</v>
          </cell>
          <cell r="B20" t="str">
            <v>ﾙﾐｶ･ﾌﾙｰﾙ【バラ】12本　ﾚｲﾝﾎﾞｰｶﾗｰ</v>
          </cell>
        </row>
        <row r="21">
          <cell r="A21" t="str">
            <v>E63111</v>
          </cell>
          <cell r="B21" t="str">
            <v>ﾙﾐｶ･ﾌﾙｰﾙ　ばらﾐﾆ</v>
          </cell>
        </row>
        <row r="22">
          <cell r="A22" t="str">
            <v>E63112</v>
          </cell>
          <cell r="B22" t="str">
            <v>ﾙﾐｶ･ﾌﾙｰﾙ　ばらﾐﾆ　ｲｴﾛｰ(本体色ｲｴﾛｰ)</v>
          </cell>
        </row>
        <row r="23">
          <cell r="A23" t="str">
            <v>E63113</v>
          </cell>
          <cell r="B23" t="str">
            <v>ﾙﾐｶ･ﾌﾙｰﾙ　ばらﾐﾆ　ｸﾞﾘｰﾝ(本体色ﾚﾓﾝ)</v>
          </cell>
        </row>
        <row r="24">
          <cell r="A24" t="str">
            <v>E63114</v>
          </cell>
          <cell r="B24" t="str">
            <v>ﾙﾐｶ･ﾌﾙｰﾙ　ばらﾐﾆ ﾊﾞｲｵﾚｯﾄ(本体色ﾛｰｽﾞ)</v>
          </cell>
        </row>
        <row r="25">
          <cell r="A25" t="str">
            <v>E63115</v>
          </cell>
          <cell r="B25" t="str">
            <v>ﾙﾐｶ･ﾌﾙｰﾙ　ばらﾐﾆ　ﾋﾟﾝｸ(本体色ﾚｯﾄﾞ)</v>
          </cell>
        </row>
        <row r="26">
          <cell r="A26" t="str">
            <v>E63116</v>
          </cell>
          <cell r="B26" t="str">
            <v>ﾙﾐｶ･ﾌﾙｰﾙ【ﾎﾟｯﾌﾟｽﾀｰ】50枚</v>
          </cell>
        </row>
        <row r="27">
          <cell r="A27" t="str">
            <v>E63117</v>
          </cell>
          <cell r="B27" t="str">
            <v>ﾙﾐｶ･ﾌﾙｰﾙ【ﾎﾟｯﾌﾟｽﾀｰ】50枚 ｲｴﾛｰ</v>
          </cell>
        </row>
        <row r="28">
          <cell r="A28" t="str">
            <v>E63118</v>
          </cell>
          <cell r="B28" t="str">
            <v>ﾙﾐｶ･ﾌﾙｰﾙ【ﾎﾟｯﾌﾟｽﾀｰ】50枚 ｸﾞﾘｰﾝ</v>
          </cell>
        </row>
        <row r="29">
          <cell r="A29" t="str">
            <v>E63119</v>
          </cell>
          <cell r="B29" t="str">
            <v>ﾙﾐｶ･ﾌﾙｰﾙ【ﾎﾟｯﾌﾟｽﾀｰ】50枚 ﾊﾞｲｵﾚｯﾄ</v>
          </cell>
        </row>
        <row r="30">
          <cell r="A30" t="str">
            <v>E63120</v>
          </cell>
          <cell r="B30" t="str">
            <v>ﾙﾐｶ･ﾌﾙｰﾙ【ﾎﾟｯﾌﾟｽﾀｰ】50枚 ﾋﾟﾝｸ</v>
          </cell>
        </row>
        <row r="31">
          <cell r="A31" t="str">
            <v>E63144</v>
          </cell>
          <cell r="B31" t="str">
            <v>ﾙﾐｶ･ﾌﾙｰﾙ【ﾎﾟｯﾌﾟｽﾀｰ】50枚 5色ｱｿｰﾄ</v>
          </cell>
        </row>
        <row r="32">
          <cell r="A32" t="str">
            <v>E63156</v>
          </cell>
          <cell r="B32" t="str">
            <v>ﾙﾐｶ･ﾌﾙｰﾙ【ﾌﾞﾛｰｳｨﾝｸﾞﾊｰﾄ】50枚</v>
          </cell>
        </row>
        <row r="33">
          <cell r="A33" t="str">
            <v>E63157</v>
          </cell>
          <cell r="B33" t="str">
            <v>ﾙﾐｶ･ﾌﾙｰﾙ【ﾌﾞﾛｰｳｨﾝｸﾞﾊｰﾄ】50枚 ｲｴﾛｰ</v>
          </cell>
        </row>
        <row r="34">
          <cell r="A34" t="str">
            <v>E63158</v>
          </cell>
          <cell r="B34" t="str">
            <v>ﾙﾐｶ･ﾌﾙｰﾙ【ﾌﾞﾛｰｳｨﾝｸﾞﾊｰﾄ】50枚 ｸﾞﾘｰﾝ</v>
          </cell>
        </row>
        <row r="35">
          <cell r="A35" t="str">
            <v>E63159</v>
          </cell>
          <cell r="B35" t="str">
            <v>ﾙﾐｶ･ﾌﾙｰﾙ【ﾌﾞﾛｰｳｨﾝｸﾞﾊｰﾄ】50枚 ﾊﾞｲｵﾚｯﾄ</v>
          </cell>
        </row>
        <row r="36">
          <cell r="A36" t="str">
            <v>E63160</v>
          </cell>
          <cell r="B36" t="str">
            <v>ﾙﾐｶ･ﾌﾙｰﾙ【ﾌﾞﾛｰｳｨﾝｸﾞﾊｰﾄ】50枚 ﾋﾟﾝｸ</v>
          </cell>
        </row>
        <row r="37">
          <cell r="A37" t="str">
            <v>E63145</v>
          </cell>
          <cell r="B37" t="str">
            <v>ﾙﾐｶ･ﾌﾙｰﾙ【ﾌﾞﾛｰｳｨﾝｸﾞﾊｰﾄ】50枚 5色ｱｿｰﾄ</v>
          </cell>
        </row>
        <row r="38">
          <cell r="A38" t="str">
            <v>E63121</v>
          </cell>
          <cell r="B38" t="str">
            <v>ﾙﾐｶ･ﾌﾙｰﾙ【ﾐﾚｰﾇ】6個</v>
          </cell>
        </row>
        <row r="39">
          <cell r="A39" t="str">
            <v>E63122</v>
          </cell>
          <cell r="B39" t="str">
            <v>ﾙﾐｶ･ﾌﾙｰﾙ【ﾐﾚｰﾇ】6個　ｲｴﾛｰ</v>
          </cell>
        </row>
        <row r="40">
          <cell r="A40" t="str">
            <v>E63123</v>
          </cell>
          <cell r="B40" t="str">
            <v>ﾙﾐｶ･ﾌﾙｰﾙ【ﾐﾚｰﾇ】6個　ｸﾞﾘｰﾝ</v>
          </cell>
        </row>
        <row r="41">
          <cell r="A41" t="str">
            <v>E63124</v>
          </cell>
          <cell r="B41" t="str">
            <v>ﾙﾐｶ･ﾌﾙｰﾙ【ﾐﾚｰﾇ】6個　ﾊﾞｲｵﾚｯﾄ</v>
          </cell>
        </row>
        <row r="42">
          <cell r="A42" t="str">
            <v>E63125</v>
          </cell>
          <cell r="B42" t="str">
            <v>ﾙﾐｶ･ﾌﾙｰﾙ【ﾐﾚｰﾇ】6個　ﾗｲﾄﾋﾟﾝｸ</v>
          </cell>
        </row>
        <row r="43">
          <cell r="A43" t="str">
            <v>E63126</v>
          </cell>
          <cell r="B43" t="str">
            <v>ﾙﾐｶ･ﾌﾙｰﾙ【ﾐﾚｰﾇ】6個　ﾚｲﾝﾎﾞｰｶﾗｰ</v>
          </cell>
        </row>
        <row r="44">
          <cell r="A44" t="str">
            <v>E63132</v>
          </cell>
          <cell r="B44" t="str">
            <v>ﾙﾐｶ･ﾌﾙｰﾙ【花びら】100枚　ｲｴﾛｰ</v>
          </cell>
        </row>
        <row r="45">
          <cell r="A45" t="str">
            <v>E63133</v>
          </cell>
          <cell r="B45" t="str">
            <v>ﾙﾐｶ･ﾌﾙｰﾙ【花びら】100枚　ｸﾞﾘｰﾝ</v>
          </cell>
        </row>
        <row r="46">
          <cell r="A46" t="str">
            <v>E63134</v>
          </cell>
          <cell r="B46" t="str">
            <v>ﾙﾐｶ･ﾌﾙｰﾙ【花びら】100枚　ﾊﾞｲｵﾚｯﾄ</v>
          </cell>
        </row>
        <row r="47">
          <cell r="A47" t="str">
            <v>E63135</v>
          </cell>
          <cell r="B47" t="str">
            <v>ﾙﾐｶ･ﾌﾙｰﾙ【花びら】100枚　ﾋﾟﾝｸ</v>
          </cell>
        </row>
        <row r="48">
          <cell r="A48" t="str">
            <v>E63140</v>
          </cell>
          <cell r="B48" t="str">
            <v>ﾙﾐｶ･ﾌﾙｰﾙ【花びら】SS添加高輝度 100枚</v>
          </cell>
        </row>
        <row r="49">
          <cell r="A49" t="str">
            <v>E63143</v>
          </cell>
          <cell r="B49" t="str">
            <v>ﾙﾐｶ･ﾌﾙｰﾙ【花びら】50枚 5色ｱｿｰﾄ</v>
          </cell>
        </row>
        <row r="50">
          <cell r="A50" t="str">
            <v>E63141</v>
          </cell>
          <cell r="B50" t="str">
            <v>ﾙﾐｶ･ﾌﾙｰﾙ【さくら】50枚　ﾋﾟﾝｸ</v>
          </cell>
        </row>
        <row r="51">
          <cell r="A51" t="str">
            <v>E63142</v>
          </cell>
          <cell r="B51" t="str">
            <v>ﾙﾐｶ･ﾌﾙｰﾙ【さくら】50枚　ﾊﾞｲｵﾚｯﾄ</v>
          </cell>
        </row>
        <row r="52">
          <cell r="A52" t="str">
            <v>E63146</v>
          </cell>
          <cell r="B52" t="str">
            <v>ﾙﾐｶ･ﾌﾙｰﾙ【もみじ】50枚 ｵﾚﾝｼﾞ</v>
          </cell>
        </row>
        <row r="53">
          <cell r="A53" t="str">
            <v>E63147</v>
          </cell>
          <cell r="B53" t="str">
            <v>ﾙﾐｶ･ﾌﾙｰﾙ【もみじ】50枚 ｲｴﾛｰ</v>
          </cell>
        </row>
        <row r="54">
          <cell r="A54" t="str">
            <v>E63148</v>
          </cell>
          <cell r="B54" t="str">
            <v>ﾙﾐｶ･ﾌﾙｰﾙ【もみじ】50枚 ﾚｯﾄﾞ</v>
          </cell>
        </row>
        <row r="55">
          <cell r="A55" t="str">
            <v>E63176</v>
          </cell>
          <cell r="B55" t="str">
            <v>ﾙﾐｶ･ﾌﾙｰﾙ【光るｼｰﾄ】6枚</v>
          </cell>
        </row>
        <row r="56">
          <cell r="A56" t="str">
            <v>E63177</v>
          </cell>
          <cell r="B56" t="str">
            <v>ﾙﾐｶ･ﾌﾙｰﾙ【光るｼｰﾄ】6枚　ｲｴﾛｰ</v>
          </cell>
        </row>
        <row r="57">
          <cell r="A57" t="str">
            <v>E63178</v>
          </cell>
          <cell r="B57" t="str">
            <v>ﾙﾐｶ･ﾌﾙｰﾙ【光るｼｰﾄ】6枚　ｸﾞﾘｰﾝ</v>
          </cell>
        </row>
        <row r="58">
          <cell r="A58" t="str">
            <v>E63179</v>
          </cell>
          <cell r="B58" t="str">
            <v>ﾙﾐｶ･ﾌﾙｰﾙ【光るｼｰﾄ】6枚　ﾊﾞｲｵﾚｯﾄ</v>
          </cell>
        </row>
        <row r="59">
          <cell r="A59" t="str">
            <v>E63180</v>
          </cell>
          <cell r="B59" t="str">
            <v>ﾙﾐｶ･ﾌﾙｰﾙ【光るｼｰﾄ】6枚　ﾋﾟﾝｸ</v>
          </cell>
        </row>
        <row r="60">
          <cell r="A60" t="str">
            <v>E63181</v>
          </cell>
          <cell r="B60" t="str">
            <v>ﾙﾐｶ･ﾌﾙｰﾙ【雪の結晶】50枚</v>
          </cell>
        </row>
        <row r="61">
          <cell r="A61" t="str">
            <v>E63182</v>
          </cell>
          <cell r="B61" t="str">
            <v>ﾙﾐｶ･ﾌﾙｰﾙ【ﾊﾞﾗﾁｯﾌﾟ】50枚　ﾚｯﾄﾞ</v>
          </cell>
        </row>
        <row r="62">
          <cell r="A62" t="str">
            <v>E63183</v>
          </cell>
          <cell r="B62" t="str">
            <v>ﾙﾐｶ･ﾌﾙｰﾙ【ﾊﾞﾗﾁｯﾌﾟ】50枚　ｵﾚﾝｼﾞ</v>
          </cell>
        </row>
        <row r="63">
          <cell r="A63" t="str">
            <v>E63184</v>
          </cell>
          <cell r="B63" t="str">
            <v>ﾙﾐｶ･ﾌﾙｰﾙ【ﾊﾞﾗﾁｯﾌﾟ】50枚　ﾋﾟﾝｸ</v>
          </cell>
        </row>
        <row r="64">
          <cell r="A64" t="str">
            <v>E63185</v>
          </cell>
          <cell r="B64" t="str">
            <v>ﾙﾐｶ･ﾌﾙｰﾙ【ﾊﾞﾗﾁｯﾌﾟ】50枚　ｲｴﾛｰ</v>
          </cell>
        </row>
        <row r="65">
          <cell r="A65" t="str">
            <v>E63186</v>
          </cell>
          <cell r="B65" t="str">
            <v>ﾙﾐｶ･ﾌﾙｰﾙ【ﾊﾞﾗﾁｯﾌﾟ】50枚　ｸﾞﾘｰﾝ</v>
          </cell>
        </row>
        <row r="66">
          <cell r="A66" t="str">
            <v>E63187</v>
          </cell>
          <cell r="B66" t="str">
            <v>ﾙﾐｶ･ﾌﾙｰﾙ【ﾊﾞﾀﾌﾗｲ】50枚　ﾚｯﾄﾞ</v>
          </cell>
        </row>
        <row r="67">
          <cell r="A67" t="str">
            <v>E63188</v>
          </cell>
          <cell r="B67" t="str">
            <v>ﾙﾐｶ･ﾌﾙｰﾙ【ﾊﾞﾀﾌﾗｲ】50枚　ﾋﾟﾝｸ</v>
          </cell>
        </row>
        <row r="68">
          <cell r="A68" t="str">
            <v>E63189</v>
          </cell>
          <cell r="B68" t="str">
            <v>ﾙﾐｶ･ﾌﾙｰﾙ【ﾌｪｻﾞｰ】50枚　ﾎﾜｲﾄ</v>
          </cell>
        </row>
        <row r="69">
          <cell r="A69" t="str">
            <v>E63190</v>
          </cell>
          <cell r="B69" t="str">
            <v>ﾙﾐｶｾﾚﾓﾆｰ ﾌﾙｰﾙｽﾀｰ15名用</v>
          </cell>
        </row>
        <row r="70">
          <cell r="A70" t="str">
            <v>E63191</v>
          </cell>
          <cell r="B70" t="str">
            <v>ﾙﾐｶｾﾚﾓﾆｰ ﾌﾙｰﾙｽﾀｰ30名用</v>
          </cell>
        </row>
        <row r="71">
          <cell r="A71" t="str">
            <v>E63192</v>
          </cell>
          <cell r="B71" t="str">
            <v>ﾙﾐｶｾﾚﾓﾆｰ ﾌﾙｰﾙﾊｰﾄ15名用</v>
          </cell>
        </row>
        <row r="72">
          <cell r="A72" t="str">
            <v>E63193</v>
          </cell>
          <cell r="B72" t="str">
            <v>ﾙﾐｶｾﾚﾓﾆｰ ﾌﾙｰﾙﾊｰﾄ30名用</v>
          </cell>
        </row>
        <row r="73">
          <cell r="A73" t="str">
            <v>E63194</v>
          </cell>
          <cell r="B73" t="str">
            <v>ﾙﾐｶｾﾚﾓﾆｰ ﾌﾙｰﾙﾗｳﾝﾄﾞ15名用</v>
          </cell>
        </row>
        <row r="74">
          <cell r="A74" t="str">
            <v>E63195</v>
          </cell>
          <cell r="B74" t="str">
            <v>ﾙﾐｶｾﾚﾓﾆｰ ﾌﾙｰﾙﾗｳﾝﾄﾞ30名用</v>
          </cell>
        </row>
        <row r="75">
          <cell r="A75" t="str">
            <v>E64901</v>
          </cell>
          <cell r="B75" t="str">
            <v>ドレスドール　グリーン</v>
          </cell>
        </row>
        <row r="76">
          <cell r="A76" t="str">
            <v>E64903</v>
          </cell>
          <cell r="B76" t="str">
            <v>ドレスドール　ピンク</v>
          </cell>
        </row>
        <row r="77">
          <cell r="A77" t="str">
            <v>E64904</v>
          </cell>
          <cell r="B77" t="str">
            <v>ドレスドール　オレンジ</v>
          </cell>
        </row>
        <row r="78">
          <cell r="A78" t="str">
            <v>E64906</v>
          </cell>
          <cell r="B78" t="str">
            <v>ドレスドール　レッド</v>
          </cell>
        </row>
        <row r="79">
          <cell r="A79" t="str">
            <v>E64907</v>
          </cell>
          <cell r="B79" t="str">
            <v>ドレスドール　バイオレット</v>
          </cell>
        </row>
        <row r="80">
          <cell r="A80" t="str">
            <v>E60401</v>
          </cell>
          <cell r="B80" t="str">
            <v>ﾙﾐｶ･ｾﾚﾓﾆｰｾｯﾄ NS37(500ml) ｸﾞﾘｰﾝ</v>
          </cell>
        </row>
        <row r="81">
          <cell r="A81" t="str">
            <v>E60402</v>
          </cell>
          <cell r="B81" t="str">
            <v>ﾙﾐｶ･ｾﾚﾓﾆｰｾｯﾄ NS37(500ml) ﾌﾞﾙｰ</v>
          </cell>
        </row>
        <row r="82">
          <cell r="A82" t="str">
            <v>E60403</v>
          </cell>
          <cell r="B82" t="str">
            <v>ﾙﾐｶ･ｾﾚﾓﾆｰｾｯﾄ NS37(500ml) ﾋﾟﾝｸ</v>
          </cell>
        </row>
        <row r="83">
          <cell r="A83" t="str">
            <v>E60404</v>
          </cell>
          <cell r="B83" t="str">
            <v>ﾙﾐｶ･ｾﾚﾓﾆｰｾｯﾄ NS37(500ml) ｵﾚﾝｼﾞ</v>
          </cell>
        </row>
        <row r="84">
          <cell r="A84" t="str">
            <v>E60405</v>
          </cell>
          <cell r="B84" t="str">
            <v>ﾙﾐｶ･ｾﾚﾓﾆｰｾｯﾄ NS37(500ml) ｲｴﾛｰ</v>
          </cell>
        </row>
        <row r="85">
          <cell r="A85" t="str">
            <v>E60406</v>
          </cell>
          <cell r="B85" t="str">
            <v>ﾙﾐｶ･ｾﾚﾓﾆｰｾｯﾄ NS37(500ml) ﾚｯﾄﾞ</v>
          </cell>
        </row>
        <row r="86">
          <cell r="A86" t="str">
            <v>E60407</v>
          </cell>
          <cell r="B86" t="str">
            <v>ﾙﾐｶ･ｾﾚﾓﾆｰｾｯﾄ NS37(500ml) ﾎﾜｲﾄ</v>
          </cell>
        </row>
        <row r="87">
          <cell r="A87" t="str">
            <v>E60408</v>
          </cell>
          <cell r="B87" t="str">
            <v>ﾙﾐｶ･ｾﾚﾓﾆｰｾｯﾄ NS37(500ml) ﾊﾞｲｵﾚｯﾄ</v>
          </cell>
        </row>
        <row r="88">
          <cell r="A88" t="str">
            <v>E60409</v>
          </cell>
          <cell r="B88" t="str">
            <v>ﾙﾐｶ･ｾﾚﾓﾆｰｾｯﾄ NS37(500ml) PVB</v>
          </cell>
        </row>
        <row r="89">
          <cell r="A89" t="str">
            <v>E60410</v>
          </cell>
          <cell r="B89" t="str">
            <v>ﾙﾐｶ･ｾﾚﾓﾆｰｾｯﾄ NS37(500ml) OYG</v>
          </cell>
        </row>
        <row r="90">
          <cell r="A90" t="str">
            <v>E60411</v>
          </cell>
          <cell r="B90" t="str">
            <v>ﾙﾐｶ･ｾﾚﾓﾆｰｾｯﾄ NS37(500ml) OWB</v>
          </cell>
        </row>
        <row r="91">
          <cell r="A91" t="str">
            <v>E60412</v>
          </cell>
          <cell r="B91" t="str">
            <v>ﾙﾐｶ･ｾﾚﾓﾆｰｾｯﾄ NS37(500ml) ｴﾒﾗﾙﾄﾞ</v>
          </cell>
        </row>
        <row r="92">
          <cell r="A92" t="str">
            <v>E60421</v>
          </cell>
          <cell r="B92" t="str">
            <v>ﾙﾐｶ･ｾﾚﾓﾆｰｾｯﾄ NS37(250mlx2) ｸﾞﾘｰﾝ</v>
          </cell>
        </row>
        <row r="93">
          <cell r="A93" t="str">
            <v>E60422</v>
          </cell>
          <cell r="B93" t="str">
            <v>ﾙﾐｶ･ｾﾚﾓﾆｰｾｯﾄ NS37(250mlx2) ﾌﾞﾙｰ</v>
          </cell>
        </row>
        <row r="94">
          <cell r="A94" t="str">
            <v>E60423</v>
          </cell>
          <cell r="B94" t="str">
            <v>ﾙﾐｶ･ｾﾚﾓﾆｰｾｯﾄ NS37(250mlx2) ﾋﾟﾝｸ</v>
          </cell>
        </row>
        <row r="95">
          <cell r="A95" t="str">
            <v>E60424</v>
          </cell>
          <cell r="B95" t="str">
            <v>ﾙﾐｶ･ｾﾚﾓﾆｰｾｯﾄ NS37(250mlx2) ｵﾚﾝｼﾞ</v>
          </cell>
        </row>
        <row r="96">
          <cell r="A96" t="str">
            <v>E60425</v>
          </cell>
          <cell r="B96" t="str">
            <v>ﾙﾐｶ･ｾﾚﾓﾆｰｾｯﾄ NS37(250mlx2) ｲｴﾛｰ</v>
          </cell>
        </row>
        <row r="97">
          <cell r="A97" t="str">
            <v>E60426</v>
          </cell>
          <cell r="B97" t="str">
            <v>ﾙﾐｶ･ｾﾚﾓﾆｰｾｯﾄ NS37(250mlx2) ﾚｯﾄﾞ</v>
          </cell>
        </row>
        <row r="98">
          <cell r="A98" t="str">
            <v>E60427</v>
          </cell>
          <cell r="B98" t="str">
            <v>ﾙﾐｶ･ｾﾚﾓﾆｰｾｯﾄ NS37(250mlx2) ﾎﾜｲﾄ</v>
          </cell>
        </row>
        <row r="99">
          <cell r="A99" t="str">
            <v>E60428</v>
          </cell>
          <cell r="B99" t="str">
            <v>ﾙﾐｶ･ｾﾚﾓﾆｰｾｯﾄ NS37(250mlx2) ﾊﾞｲｵﾚｯﾄ</v>
          </cell>
        </row>
        <row r="100">
          <cell r="A100" t="str">
            <v>E60429</v>
          </cell>
          <cell r="B100" t="str">
            <v>ﾙﾐｶ･ｾﾚﾓﾆｰｾｯﾄ NS37(250mlx2) PVB</v>
          </cell>
        </row>
        <row r="101">
          <cell r="A101" t="str">
            <v>E60430</v>
          </cell>
          <cell r="B101" t="str">
            <v>ﾙﾐｶ･ｾﾚﾓﾆｰｾｯﾄ NS37(250mlx2) OYG</v>
          </cell>
        </row>
        <row r="102">
          <cell r="A102" t="str">
            <v>E60431</v>
          </cell>
          <cell r="B102" t="str">
            <v>ﾙﾐｶ･ｾﾚﾓﾆｰｾｯﾄ NS37(250mlx2) OWB</v>
          </cell>
        </row>
        <row r="103">
          <cell r="A103" t="str">
            <v>E60432</v>
          </cell>
          <cell r="B103" t="str">
            <v>ﾙﾐｶ･ｾﾚﾓﾆｰｾｯﾄ NS37(250mlx2) ｴﾒﾗﾙﾄﾞ</v>
          </cell>
        </row>
        <row r="104">
          <cell r="A104" t="str">
            <v>E60461</v>
          </cell>
          <cell r="B104" t="str">
            <v>ｾﾚﾓﾆｰｾｯﾄ(NS37用)蛍光液 ｸﾞﾘｰﾝ 500ml</v>
          </cell>
        </row>
        <row r="105">
          <cell r="A105" t="str">
            <v>E60462</v>
          </cell>
          <cell r="B105" t="str">
            <v>ｾﾚﾓﾆｰｾｯﾄ(NS37用)蛍光液 ﾌﾞﾙｰ 500ml</v>
          </cell>
        </row>
        <row r="106">
          <cell r="A106" t="str">
            <v>E60463</v>
          </cell>
          <cell r="B106" t="str">
            <v>ｾﾚﾓﾆｰｾｯﾄ(NS37用)蛍光液 ﾋﾟﾝｸ 500ml</v>
          </cell>
        </row>
        <row r="107">
          <cell r="A107" t="str">
            <v>E60464</v>
          </cell>
          <cell r="B107" t="str">
            <v>ｾﾚﾓﾆｰｾｯﾄ(NS37用)蛍光液 ｵﾚﾝｼﾞ 500ml</v>
          </cell>
        </row>
        <row r="108">
          <cell r="A108" t="str">
            <v>E60465</v>
          </cell>
          <cell r="B108" t="str">
            <v>ｾﾚﾓﾆｰｾｯﾄ(NS37用)蛍光液 ｲｴﾛｰ 500ml</v>
          </cell>
        </row>
        <row r="109">
          <cell r="A109" t="str">
            <v>E60466</v>
          </cell>
          <cell r="B109" t="str">
            <v>ｾﾚﾓﾆｰｾｯﾄ(NS37用)蛍光液 ﾚｯﾄﾞ 500ml</v>
          </cell>
        </row>
        <row r="110">
          <cell r="A110" t="str">
            <v>E60467</v>
          </cell>
          <cell r="B110" t="str">
            <v>ｾﾚﾓﾆｰｾｯﾄ(NS37用)蛍光液 ﾎﾜｲﾄ 500ml</v>
          </cell>
        </row>
        <row r="111">
          <cell r="A111" t="str">
            <v>E60468</v>
          </cell>
          <cell r="B111" t="str">
            <v>ｾﾚﾓﾆｰｾｯﾄ(NS37用)蛍光液 ﾊﾞｲｵﾚｯﾄ 500ml</v>
          </cell>
        </row>
        <row r="112">
          <cell r="A112" t="str">
            <v>E60469</v>
          </cell>
          <cell r="B112" t="str">
            <v>ｾﾚﾓﾆｰｾｯﾄ(NS37用)蛍光液 PVB 500ml</v>
          </cell>
        </row>
        <row r="113">
          <cell r="A113" t="str">
            <v>E60470</v>
          </cell>
          <cell r="B113" t="str">
            <v>ｾﾚﾓﾆｰｾｯﾄ(NS37用)蛍光液 OYG 500ml</v>
          </cell>
        </row>
        <row r="114">
          <cell r="A114" t="str">
            <v>E60471</v>
          </cell>
          <cell r="B114" t="str">
            <v>ｾﾚﾓﾆｰｾｯﾄ(NS37用)蛍光液 OWB 500ml</v>
          </cell>
        </row>
        <row r="115">
          <cell r="A115" t="str">
            <v>E60472</v>
          </cell>
          <cell r="B115" t="str">
            <v>ｾﾚﾓﾆｰｾｯﾄ(NS37用)蛍光液 ｴﾒﾗﾙﾄﾞ 500ml</v>
          </cell>
        </row>
        <row r="116">
          <cell r="A116" t="str">
            <v>E60481</v>
          </cell>
          <cell r="B116" t="str">
            <v>ﾙﾐｶ･ｾﾚﾓﾆｰｾｯﾄ NS37(50ml)10ｾｯﾄ ｸﾞﾘｰﾝ</v>
          </cell>
        </row>
        <row r="117">
          <cell r="A117" t="str">
            <v>E60482</v>
          </cell>
          <cell r="B117" t="str">
            <v>ﾙﾐｶ･ｾﾚﾓﾆｰｾｯﾄ NS37(50ml)10ｾｯﾄ ﾌﾞﾙｰ</v>
          </cell>
        </row>
        <row r="118">
          <cell r="A118" t="str">
            <v>E60483</v>
          </cell>
          <cell r="B118" t="str">
            <v>ﾙﾐｶ･ｾﾚﾓﾆｰｾｯﾄ NS37(50ml)10ｾｯﾄ ﾋﾟﾝｸ</v>
          </cell>
        </row>
        <row r="119">
          <cell r="A119" t="str">
            <v>E60484</v>
          </cell>
          <cell r="B119" t="str">
            <v>ﾙﾐｶ･ｾﾚﾓﾆｰｾｯﾄ NS37(50ml)10ｾｯﾄ ｵﾚﾝｼﾞ</v>
          </cell>
        </row>
        <row r="120">
          <cell r="A120" t="str">
            <v>E60485</v>
          </cell>
          <cell r="B120" t="str">
            <v>ﾙﾐｶ･ｾﾚﾓﾆｰｾｯﾄ NS37(50ml)10ｾｯﾄ ｲｴﾛｰ</v>
          </cell>
        </row>
        <row r="121">
          <cell r="A121" t="str">
            <v>E60486</v>
          </cell>
          <cell r="B121" t="str">
            <v>ﾙﾐｶ･ｾﾚﾓﾆｰｾｯﾄ NS37(50ml)10ｾｯﾄ ﾚｯﾄﾞ</v>
          </cell>
        </row>
        <row r="122">
          <cell r="A122" t="str">
            <v>E60487</v>
          </cell>
          <cell r="B122" t="str">
            <v>ﾙﾐｶ･ｾﾚﾓﾆｰｾｯﾄ NS37(50ml)10ｾｯﾄ ﾎﾜｲﾄ</v>
          </cell>
        </row>
        <row r="123">
          <cell r="A123" t="str">
            <v>E60488</v>
          </cell>
          <cell r="B123" t="str">
            <v>ﾙﾐｶ･ｾﾚﾓﾆｰｾｯﾄ NS37(50ml)10ｾｯﾄ ﾊﾞｲｵﾚｯﾄ</v>
          </cell>
        </row>
        <row r="124">
          <cell r="A124" t="str">
            <v>E60489</v>
          </cell>
          <cell r="B124" t="str">
            <v>ﾙﾐｶ･ｾﾚﾓﾆｰｾｯﾄ NS37(50ml)10ｾｯﾄ PVB</v>
          </cell>
        </row>
        <row r="125">
          <cell r="A125" t="str">
            <v>E60490</v>
          </cell>
          <cell r="B125" t="str">
            <v>ﾙﾐｶ･ｾﾚﾓﾆｰｾｯﾄ NS37(50ml)10ｾｯﾄ OYG</v>
          </cell>
        </row>
        <row r="126">
          <cell r="A126" t="str">
            <v>E60491</v>
          </cell>
          <cell r="B126" t="str">
            <v>ﾙﾐｶ･ｾﾚﾓﾆｰｾｯﾄ NS37(50ml)10ｾｯﾄ OWB</v>
          </cell>
        </row>
        <row r="127">
          <cell r="A127" t="str">
            <v>E60492</v>
          </cell>
          <cell r="B127" t="str">
            <v>ﾙﾐｶ･ｾﾚﾓﾆｰｾｯﾄ NS37(50ml)10ｾｯﾄ ｴﾒﾗﾙﾄﾞ</v>
          </cell>
        </row>
        <row r="128">
          <cell r="A128" t="str">
            <v>E63220</v>
          </cell>
          <cell r="B128" t="str">
            <v>ﾙﾐｶ･ﾌﾙｰﾙ液　NS37 BLUE</v>
          </cell>
        </row>
        <row r="129">
          <cell r="A129" t="str">
            <v>E63221</v>
          </cell>
          <cell r="B129" t="str">
            <v>ﾙﾐｶ･ﾌﾙｰﾙ液　NS37 YELLOW</v>
          </cell>
        </row>
        <row r="130">
          <cell r="A130" t="str">
            <v>E63222</v>
          </cell>
          <cell r="B130" t="str">
            <v>ﾙﾐｶ･ﾌﾙｰﾙ液　NS37 VIOLET</v>
          </cell>
        </row>
        <row r="131">
          <cell r="A131" t="str">
            <v>E63223</v>
          </cell>
          <cell r="B131" t="str">
            <v>ﾙﾐｶ･ﾌﾙｰﾙ液　NS37 ｴﾒﾗﾙﾄﾞ</v>
          </cell>
        </row>
        <row r="132">
          <cell r="A132" t="str">
            <v>E63224</v>
          </cell>
          <cell r="B132" t="str">
            <v>ﾙﾐｶ･ﾌﾙｰﾙ液　NS37 RED</v>
          </cell>
        </row>
        <row r="133">
          <cell r="A133" t="str">
            <v>E63230</v>
          </cell>
          <cell r="B133" t="str">
            <v>ﾙﾐｶ･ﾌﾙｰﾙ液ﾊｰﾌ NS37 BLUE</v>
          </cell>
        </row>
        <row r="134">
          <cell r="A134" t="str">
            <v>E64401</v>
          </cell>
          <cell r="B134" t="str">
            <v>ｾﾚﾓﾆｰｾｯﾄ酸化液 500ml</v>
          </cell>
        </row>
        <row r="135">
          <cell r="A135" t="str">
            <v>E64402</v>
          </cell>
          <cell r="B135" t="str">
            <v>ｾﾚﾓﾆｰｾｯﾄ酸化液 250ml</v>
          </cell>
        </row>
        <row r="136">
          <cell r="A136" t="str">
            <v>E64403</v>
          </cell>
          <cell r="B136" t="str">
            <v>ｾﾚﾓﾆｰｾｯﾄ(ﾌﾟﾚﾐｱﾑｵﾚﾝｼﾞ)用酸化液 500ml</v>
          </cell>
        </row>
        <row r="137">
          <cell r="A137" t="str">
            <v>E64404</v>
          </cell>
          <cell r="B137" t="str">
            <v>ｾﾚﾓﾆｰｾｯﾄ用酸化液50ml×10ｾｯﾄ</v>
          </cell>
        </row>
        <row r="138">
          <cell r="A138" t="str">
            <v>E64405</v>
          </cell>
          <cell r="B138" t="str">
            <v>ﾌﾙｰﾙｾｯﾄ酸化液100ml</v>
          </cell>
        </row>
        <row r="139">
          <cell r="A139" t="str">
            <v>E60000</v>
          </cell>
          <cell r="B139" t="str">
            <v>ﾙﾐｶ･ｾﾚﾓﾆｰｾｯﾄ NS36(500ml) ﾌﾟﾚﾐｱﾑｵﾚﾝｼﾞ</v>
          </cell>
        </row>
        <row r="140">
          <cell r="A140" t="str">
            <v>E60013</v>
          </cell>
          <cell r="B140" t="str">
            <v>ﾙﾐｶ･ｾﾚﾓﾆｰｾｯﾄ NS36(500ml) ﾌﾟﾚﾐｱﾑYG</v>
          </cell>
        </row>
        <row r="141">
          <cell r="A141" t="str">
            <v>E60014</v>
          </cell>
          <cell r="B141" t="str">
            <v>ﾙﾐｶ･ｾﾚﾓﾆｰｾｯﾄ NS36(500ml) ﾌﾟﾚﾐｱﾑWB</v>
          </cell>
        </row>
        <row r="142">
          <cell r="A142" t="str">
            <v>E60015</v>
          </cell>
          <cell r="B142" t="str">
            <v>ﾙﾐｶ･ｾﾚﾓﾆｰｾｯﾄ NS36(500ml) ﾌﾟﾚﾐｱﾑﾋﾟﾝｸ</v>
          </cell>
        </row>
        <row r="144">
          <cell r="A144"/>
          <cell r="B144"/>
        </row>
        <row r="145">
          <cell r="A145"/>
          <cell r="B145"/>
        </row>
        <row r="146">
          <cell r="A146"/>
          <cell r="B146"/>
        </row>
      </sheetData>
      <sheetData sheetId="6">
        <row r="1">
          <cell r="B1"/>
        </row>
        <row r="2">
          <cell r="B2" t="str">
            <v>ｾﾚﾓﾆｰ</v>
          </cell>
        </row>
        <row r="3">
          <cell r="A3" t="str">
            <v>CODE</v>
          </cell>
          <cell r="B3" t="str">
            <v>商品名　</v>
          </cell>
        </row>
        <row r="4">
          <cell r="A4" t="str">
            <v>G15107</v>
          </cell>
          <cell r="B4" t="str">
            <v>ｱｸｱｴﾝｼﾞｪﾙ　ｸﾞﾗｽ　TOP</v>
          </cell>
        </row>
        <row r="5">
          <cell r="A5" t="str">
            <v>G15108</v>
          </cell>
          <cell r="B5" t="str">
            <v>ｱｸｱｴﾝｼﾞｪﾙ　ｸﾞﾗｽ　小</v>
          </cell>
        </row>
        <row r="6">
          <cell r="A6" t="str">
            <v>G15125</v>
          </cell>
          <cell r="B6" t="str">
            <v>ｸﾞﾗﾃﾞｰｼｮﾝﾙﾐｶ用ｼﾞｮｰﾛ</v>
          </cell>
        </row>
        <row r="7">
          <cell r="A7" t="str">
            <v>G15258</v>
          </cell>
          <cell r="B7" t="str">
            <v>ﾙﾐｶｾﾚﾓﾆｰ ｼｬﾝﾊﾟﾝﾀﾜｰ</v>
          </cell>
        </row>
        <row r="8">
          <cell r="A8" t="str">
            <v>G15147</v>
          </cell>
          <cell r="B8" t="str">
            <v>ｱﾝｼﾞｪﾘｶ</v>
          </cell>
        </row>
        <row r="9">
          <cell r="A9" t="str">
            <v>G15152</v>
          </cell>
          <cell r="B9" t="str">
            <v>グラデーションルミカ用ジョーロ　フタ</v>
          </cell>
        </row>
        <row r="10">
          <cell r="A10" t="str">
            <v>G15174</v>
          </cell>
          <cell r="B10" t="str">
            <v>ｸﾞﾗﾃﾞｰｼｮﾝﾙﾐｶ用ｼﾞｮｰﾛ　ｲﾝﾅｰﾎﾟｯﾄ</v>
          </cell>
        </row>
        <row r="11">
          <cell r="A11" t="str">
            <v>G15204</v>
          </cell>
          <cell r="B11" t="str">
            <v>トリニティ</v>
          </cell>
        </row>
        <row r="12">
          <cell r="A12" t="str">
            <v>G15239</v>
          </cell>
          <cell r="B12" t="str">
            <v>NEW ﾎﾟｱﾗｰ</v>
          </cell>
        </row>
        <row r="13">
          <cell r="A13" t="str">
            <v>G15243</v>
          </cell>
          <cell r="B13" t="str">
            <v>DIVA</v>
          </cell>
        </row>
        <row r="14">
          <cell r="A14" t="str">
            <v>G15244</v>
          </cell>
          <cell r="B14" t="str">
            <v>DIVA　ガラス筒</v>
          </cell>
        </row>
        <row r="15">
          <cell r="A15" t="str">
            <v>G15255</v>
          </cell>
          <cell r="B15" t="str">
            <v>トリニティ　ストッパー付</v>
          </cell>
        </row>
        <row r="16">
          <cell r="A16" t="str">
            <v>G15257</v>
          </cell>
          <cell r="B16" t="str">
            <v>セレモニーポット</v>
          </cell>
        </row>
        <row r="17">
          <cell r="A17" t="str">
            <v>G15260</v>
          </cell>
          <cell r="B17" t="str">
            <v>アクリル製シンデレラ靴2022</v>
          </cell>
        </row>
      </sheetData>
      <sheetData sheetId="7">
        <row r="1">
          <cell r="B1"/>
        </row>
        <row r="2">
          <cell r="B2" t="str">
            <v>OEM-INV.</v>
          </cell>
        </row>
        <row r="3">
          <cell r="A3" t="str">
            <v>CODE</v>
          </cell>
          <cell r="B3" t="str">
            <v>製品名　</v>
          </cell>
        </row>
        <row r="4">
          <cell r="A4" t="str">
            <v>E75177</v>
          </cell>
          <cell r="B4" t="str">
            <v>オンダ様ＯＥＭ虫除けﾗｲﾄﾌﾞﾚｽﾚｯﾄ</v>
          </cell>
        </row>
        <row r="5">
          <cell r="A5" t="str">
            <v>E75105</v>
          </cell>
          <cell r="B5" t="str">
            <v>6ｲﾝﾁﾚｷﾞｭﾗｰ(ﾚｯﾄﾞ)5本入 JR東日本様OEM</v>
          </cell>
        </row>
        <row r="6">
          <cell r="A6" t="str">
            <v>E75202</v>
          </cell>
          <cell r="B6" t="str">
            <v>富士急ハイランド用戦慄迷宮お守り</v>
          </cell>
        </row>
        <row r="7">
          <cell r="A7" t="str">
            <v>E75209</v>
          </cell>
          <cell r="B7" t="str">
            <v>業務用４インチ グリーンイエロー</v>
          </cell>
        </row>
        <row r="8">
          <cell r="A8" t="str">
            <v>E75210</v>
          </cell>
          <cell r="B8" t="str">
            <v>業務用１.5ｲﾝﾁ　ｸﾞﾘｰﾝｲｴﾛｰ</v>
          </cell>
        </row>
        <row r="9">
          <cell r="A9" t="str">
            <v>E75258</v>
          </cell>
          <cell r="B9" t="str">
            <v>電池不要！防災用簡易照明灯</v>
          </cell>
        </row>
        <row r="10">
          <cell r="A10" t="str">
            <v>E75259</v>
          </cell>
          <cell r="B10" t="str">
            <v>ファシル様オリジナル　あんしんペンライト</v>
          </cell>
        </row>
        <row r="11">
          <cell r="A11" t="str">
            <v>E75302</v>
          </cell>
          <cell r="B11" t="str">
            <v>ふしぎな実験ｷｯﾄ4個ｾｯﾄA(新日本造形様)</v>
          </cell>
        </row>
        <row r="12">
          <cell r="A12" t="str">
            <v>E75303</v>
          </cell>
          <cell r="B12" t="str">
            <v>ふしぎな実験ｷｯﾄ4個ｾｯﾄB(新日本造形様)</v>
          </cell>
        </row>
        <row r="13">
          <cell r="A13" t="str">
            <v>E75309</v>
          </cell>
          <cell r="B13" t="str">
            <v>ふしぎな実験ｷｯﾄ5個ｾｯﾄC(新日本造形様)</v>
          </cell>
        </row>
        <row r="14">
          <cell r="A14" t="str">
            <v>E75304</v>
          </cell>
          <cell r="B14" t="str">
            <v>誠文社様OEM 吸水ポリマー3g</v>
          </cell>
        </row>
        <row r="15">
          <cell r="A15" t="str">
            <v>E75311</v>
          </cell>
          <cell r="B15" t="str">
            <v>防災用ルミカライト ホワイト３本入り</v>
          </cell>
        </row>
        <row r="16">
          <cell r="A16" t="str">
            <v>E75312</v>
          </cell>
          <cell r="B16" t="str">
            <v>防災用ルミカライト 高輝度イエロー5本入り</v>
          </cell>
        </row>
        <row r="17">
          <cell r="A17" t="str">
            <v>E75319</v>
          </cell>
          <cell r="B17" t="str">
            <v>清和様防災用ライト 1本入</v>
          </cell>
        </row>
        <row r="18">
          <cell r="A18" t="str">
            <v>E80101</v>
          </cell>
          <cell r="B18" t="str">
            <v>Ｘチェッカー</v>
          </cell>
        </row>
        <row r="19">
          <cell r="A19" t="str">
            <v>E80102</v>
          </cell>
          <cell r="B19" t="str">
            <v>ＭＸチェッカー</v>
          </cell>
        </row>
        <row r="20">
          <cell r="A20" t="str">
            <v>E80103</v>
          </cell>
          <cell r="B20" t="str">
            <v>Ｍチェッカー</v>
          </cell>
        </row>
        <row r="21">
          <cell r="A21" t="str">
            <v>E80104</v>
          </cell>
          <cell r="B21" t="str">
            <v>MiXチェッカー</v>
          </cell>
        </row>
        <row r="22">
          <cell r="A22" t="str">
            <v>E80150</v>
          </cell>
          <cell r="B22" t="str">
            <v>大麻チェッカー</v>
          </cell>
        </row>
        <row r="23">
          <cell r="A23" t="str">
            <v>E80201</v>
          </cell>
          <cell r="B23" t="str">
            <v>コカインチェッカー</v>
          </cell>
        </row>
        <row r="24">
          <cell r="A24" t="str">
            <v>E80502</v>
          </cell>
          <cell r="B24" t="str">
            <v>標示灯</v>
          </cell>
        </row>
        <row r="25">
          <cell r="A25" t="str">
            <v>E80601</v>
          </cell>
          <cell r="B25" t="str">
            <v>LUPHTEKベーシックキット</v>
          </cell>
        </row>
        <row r="26">
          <cell r="A26" t="str">
            <v>E80602</v>
          </cell>
          <cell r="B26" t="str">
            <v>LUPHTEK発光液セット</v>
          </cell>
        </row>
        <row r="27">
          <cell r="A27" t="str">
            <v>E80608</v>
          </cell>
          <cell r="B27" t="str">
            <v>ルミキット　ﾍﾞｰｼｯｸ・ｴﾚﾒﾝﾀﾘｰｾｯﾄ</v>
          </cell>
        </row>
        <row r="28">
          <cell r="A28" t="str">
            <v>E80609</v>
          </cell>
          <cell r="B28" t="str">
            <v>ルミキット　光の三原色セット</v>
          </cell>
        </row>
        <row r="29">
          <cell r="A29" t="str">
            <v>E80610</v>
          </cell>
          <cell r="B29" t="str">
            <v>ルミキット　ベーシックキット</v>
          </cell>
        </row>
        <row r="30">
          <cell r="A30" t="str">
            <v>E80611</v>
          </cell>
          <cell r="B30" t="str">
            <v>ルミキット　エレメンタリーキット</v>
          </cell>
        </row>
        <row r="31">
          <cell r="A31" t="str">
            <v>E80612</v>
          </cell>
          <cell r="B31" t="str">
            <v>光の三原色セット補充用グリーン</v>
          </cell>
        </row>
        <row r="32">
          <cell r="A32" t="str">
            <v>E80613</v>
          </cell>
          <cell r="B32" t="str">
            <v>光の三原色セット補充用ブルー</v>
          </cell>
        </row>
        <row r="33">
          <cell r="A33" t="str">
            <v>E80614</v>
          </cell>
          <cell r="B33" t="str">
            <v>光の三原色セット補充用レッド</v>
          </cell>
        </row>
        <row r="34">
          <cell r="A34" t="str">
            <v>E80615</v>
          </cell>
          <cell r="B34" t="str">
            <v>CYALUME PAINT GREEN</v>
          </cell>
        </row>
        <row r="35">
          <cell r="A35" t="str">
            <v>E80616</v>
          </cell>
          <cell r="B35" t="str">
            <v>CYALUME PAINT IR</v>
          </cell>
        </row>
        <row r="36">
          <cell r="A36" t="str">
            <v>E80617</v>
          </cell>
          <cell r="B36" t="str">
            <v>ｻｲﾘｭｰﾑﾍﾟｲﾝﾄ用ﾚｯｸﾞﾎﾙｽﾀｰ</v>
          </cell>
        </row>
        <row r="37">
          <cell r="A37" t="str">
            <v>A21013</v>
          </cell>
          <cell r="B37" t="str">
            <v>Ｌ－２１Ｋ　ツーウェイ　ランタン</v>
          </cell>
        </row>
        <row r="38">
          <cell r="A38" t="str">
            <v>A21020</v>
          </cell>
          <cell r="B38" t="str">
            <v>Ｌ－２１Ｗ　ツーウェイ　ランタン　白</v>
          </cell>
        </row>
        <row r="39">
          <cell r="A39" t="str">
            <v>E80504</v>
          </cell>
          <cell r="B39" t="str">
            <v>防災用Ｓライト　イエロー</v>
          </cell>
        </row>
        <row r="40">
          <cell r="A40" t="str">
            <v>E80505</v>
          </cell>
          <cell r="B40" t="str">
            <v>防災用簡易ライト（イエロー）</v>
          </cell>
        </row>
        <row r="41">
          <cell r="A41" t="str">
            <v>E80506</v>
          </cell>
          <cell r="B41" t="str">
            <v>防災用簡易マーカー（レッド）</v>
          </cell>
        </row>
        <row r="42">
          <cell r="A42" t="str">
            <v>E80508</v>
          </cell>
          <cell r="B42" t="str">
            <v>防災用簡易照明灯（ホワイト）</v>
          </cell>
        </row>
        <row r="43">
          <cell r="A43" t="str">
            <v>E80509</v>
          </cell>
          <cell r="B43" t="str">
            <v>防災用簡易照明灯 ﾊﾞﾘｭｰﾊﾟｯｸ（ﾎﾜｲﾄ）</v>
          </cell>
        </row>
        <row r="44">
          <cell r="A44" t="str">
            <v>E80515</v>
          </cell>
          <cell r="B44" t="str">
            <v>防災用簡易ﾗｲﾄ ﾊﾞﾘｭｰﾊﾟｯｸ(ｲｴﾛｰ)</v>
          </cell>
        </row>
        <row r="45">
          <cell r="A45" t="str">
            <v>E80516</v>
          </cell>
          <cell r="B45" t="str">
            <v>災害備蓄用ルミカライト24本入</v>
          </cell>
        </row>
        <row r="46">
          <cell r="A46" t="str">
            <v>E80518</v>
          </cell>
          <cell r="B46" t="str">
            <v>災害備蓄用ライト　48時間</v>
          </cell>
        </row>
        <row r="47">
          <cell r="A47" t="str">
            <v>E80519</v>
          </cell>
          <cell r="B47" t="str">
            <v>車載対応非常用ライト3本入</v>
          </cell>
        </row>
        <row r="48">
          <cell r="A48" t="str">
            <v>E80550</v>
          </cell>
          <cell r="B48" t="str">
            <v>充電式ツーウェイランタン　ブラック</v>
          </cell>
        </row>
        <row r="49">
          <cell r="A49" t="str">
            <v>E80551</v>
          </cell>
          <cell r="B49" t="str">
            <v>充電式ツーウェイランタン　ホワイト</v>
          </cell>
        </row>
        <row r="50">
          <cell r="A50" t="str">
            <v>E80552</v>
          </cell>
          <cell r="B50" t="str">
            <v>非常用お助けｶｰﾄﾞ(ｽﾄﾗｯﾌﾟ＆ｹｰｽ付き）</v>
          </cell>
        </row>
        <row r="51">
          <cell r="A51" t="str">
            <v>E80553</v>
          </cell>
          <cell r="B51" t="str">
            <v>非常用お助けｶｰﾄﾞ　10枚ｾｯﾄ</v>
          </cell>
        </row>
        <row r="52">
          <cell r="A52" t="str">
            <v>E80604</v>
          </cell>
          <cell r="B52" t="str">
            <v>イージーアンプラーシステム</v>
          </cell>
        </row>
        <row r="53">
          <cell r="A53" t="str">
            <v>E80605</v>
          </cell>
          <cell r="B53" t="str">
            <v>イージーアンプル</v>
          </cell>
        </row>
        <row r="54">
          <cell r="A54" t="str">
            <v>E80618</v>
          </cell>
          <cell r="B54" t="str">
            <v>虫よけスティック</v>
          </cell>
        </row>
        <row r="55">
          <cell r="A55" t="str">
            <v>E80619</v>
          </cell>
          <cell r="B55" t="str">
            <v>虫よけミスト</v>
          </cell>
        </row>
        <row r="56">
          <cell r="A56" t="str">
            <v>E80632</v>
          </cell>
          <cell r="B56" t="str">
            <v>業務用二酸化塩素香 POWER 6inch(10)</v>
          </cell>
        </row>
        <row r="57">
          <cell r="A57" t="str">
            <v>E80633</v>
          </cell>
          <cell r="B57" t="str">
            <v>二酸化塩素香 POWER BRACE</v>
          </cell>
        </row>
        <row r="58">
          <cell r="A58" t="str">
            <v>E80634</v>
          </cell>
          <cell r="B58" t="str">
            <v>二酸化塩素香 POWER SPRAY-W</v>
          </cell>
        </row>
        <row r="59">
          <cell r="A59" t="str">
            <v>E80635</v>
          </cell>
          <cell r="B59" t="str">
            <v>純粋二酸化塩素水POWER MIST-50</v>
          </cell>
        </row>
        <row r="60">
          <cell r="A60" t="str">
            <v>E80636</v>
          </cell>
          <cell r="B60" t="str">
            <v>二酸化塩素香 POWER 6inch</v>
          </cell>
        </row>
        <row r="61">
          <cell r="A61" t="str">
            <v>E80637</v>
          </cell>
          <cell r="B61" t="str">
            <v>業務用二酸化塩素香 ﾌﾞﾚｽｽﾃｨｯｸ(50)</v>
          </cell>
        </row>
        <row r="62">
          <cell r="A62" t="str">
            <v>E80638</v>
          </cell>
          <cell r="B62" t="str">
            <v>業務用二酸化塩素香 ﾌﾞﾚｽﾎﾙﾀﾞｰ(R)(50)</v>
          </cell>
        </row>
        <row r="63">
          <cell r="A63" t="str">
            <v>E80639</v>
          </cell>
          <cell r="B63" t="str">
            <v>業務用二酸化塩素香 POWER 2inch(25)</v>
          </cell>
        </row>
        <row r="64">
          <cell r="A64" t="str">
            <v>E80641</v>
          </cell>
          <cell r="B64" t="str">
            <v>純粋二酸化塩素水 PURE SOLUTION 100</v>
          </cell>
        </row>
        <row r="65">
          <cell r="A65" t="str">
            <v>E80642</v>
          </cell>
          <cell r="B65" t="str">
            <v>CLO2 PURESOLUTION MAKER</v>
          </cell>
        </row>
        <row r="66">
          <cell r="A66" t="str">
            <v>E80643</v>
          </cell>
          <cell r="B66" t="str">
            <v>CLO2 POWER MIST 100</v>
          </cell>
        </row>
        <row r="67">
          <cell r="A67" t="str">
            <v>E80644</v>
          </cell>
          <cell r="B67" t="str">
            <v>BUBCLO2 HOME</v>
          </cell>
        </row>
        <row r="68">
          <cell r="A68" t="str">
            <v>E80645</v>
          </cell>
          <cell r="B68" t="str">
            <v>ClO2センサー</v>
          </cell>
        </row>
        <row r="69">
          <cell r="A69" t="str">
            <v>E80646</v>
          </cell>
          <cell r="B69" t="str">
            <v>CLO2 POWER4ｲﾝﾁ(燻蒸･即効除菌)10本入</v>
          </cell>
        </row>
        <row r="70">
          <cell r="A70" t="str">
            <v>E80647</v>
          </cell>
          <cell r="B70" t="str">
            <v>BUBCLO2 専用トレー</v>
          </cell>
        </row>
        <row r="71">
          <cell r="A71" t="str">
            <v>E80651</v>
          </cell>
          <cell r="B71" t="str">
            <v>消臭職人（やさしいせっけんの香り）</v>
          </cell>
        </row>
        <row r="72">
          <cell r="A72" t="str">
            <v>E80652</v>
          </cell>
          <cell r="B72" t="str">
            <v>フリーアーム・バブリライザー本体</v>
          </cell>
        </row>
        <row r="73">
          <cell r="A73" t="str">
            <v>E80655</v>
          </cell>
          <cell r="B73" t="str">
            <v>らくらくキャップオープナー</v>
          </cell>
        </row>
        <row r="74">
          <cell r="A74" t="str">
            <v>E81206</v>
          </cell>
          <cell r="B74" t="str">
            <v>香りｽﾃｨｯｸPEφ7.5x50</v>
          </cell>
        </row>
        <row r="75">
          <cell r="A75" t="str">
            <v>E81207</v>
          </cell>
          <cell r="B75" t="str">
            <v>密封ﾀｲﾌﾟｽﾃｨｯｸK50(ｱﾝﾌﾟﾙ有･自社香料)</v>
          </cell>
        </row>
        <row r="76">
          <cell r="A76" t="str">
            <v>E81208</v>
          </cell>
          <cell r="B76" t="str">
            <v>アロマスティックK50(アンプル有・自社香料)</v>
          </cell>
        </row>
        <row r="77">
          <cell r="A77" t="str">
            <v>E81210</v>
          </cell>
          <cell r="B77" t="str">
            <v>ｱﾛﾏｽﾃｨｯｸK50(ｱﾝﾌﾟﾙ有･支給香料)</v>
          </cell>
        </row>
        <row r="78">
          <cell r="A78" t="str">
            <v>E81512</v>
          </cell>
          <cell r="B78" t="str">
            <v>業務用ﾗｯﾄﾊﾞﾘｱ ｽﾃｨｯｸﾀｲﾌﾟ 20本入</v>
          </cell>
        </row>
        <row r="79">
          <cell r="A79" t="str">
            <v>E81521</v>
          </cell>
          <cell r="B79" t="str">
            <v>共和電子様OEM エミッタクリーナー</v>
          </cell>
        </row>
        <row r="80">
          <cell r="A80" t="str">
            <v>E81531</v>
          </cell>
          <cell r="B80" t="str">
            <v>カタカムナ・チップ</v>
          </cell>
        </row>
        <row r="81">
          <cell r="A81" t="str">
            <v>E81551</v>
          </cell>
          <cell r="B81" t="str">
            <v>ユニエポカプセル450</v>
          </cell>
        </row>
        <row r="82">
          <cell r="A82" t="str">
            <v>E81552</v>
          </cell>
          <cell r="B82" t="str">
            <v>ユニエポカプセル470</v>
          </cell>
        </row>
        <row r="83">
          <cell r="A83" t="str">
            <v>E81553</v>
          </cell>
          <cell r="B83" t="str">
            <v>ユニエポカプセル436</v>
          </cell>
        </row>
        <row r="84">
          <cell r="A84" t="str">
            <v>E81560</v>
          </cell>
          <cell r="B84" t="str">
            <v>クリオマーク　CM-3</v>
          </cell>
        </row>
        <row r="85">
          <cell r="A85" t="str">
            <v>E81561</v>
          </cell>
          <cell r="B85" t="str">
            <v>クリオマーク　CM-9</v>
          </cell>
        </row>
        <row r="86">
          <cell r="A86" t="str">
            <v>E81562</v>
          </cell>
          <cell r="B86" t="str">
            <v>クリオマーク　CM-M4</v>
          </cell>
        </row>
        <row r="87">
          <cell r="A87" t="str">
            <v>E81563</v>
          </cell>
          <cell r="B87" t="str">
            <v>クリオマーク　CM-M10</v>
          </cell>
        </row>
        <row r="88">
          <cell r="A88" t="str">
            <v>E81564</v>
          </cell>
          <cell r="B88" t="str">
            <v>クリオマーク　CM-M15</v>
          </cell>
        </row>
        <row r="89">
          <cell r="A89" t="str">
            <v>E81565</v>
          </cell>
          <cell r="B89" t="str">
            <v>クリオマーク　CM-M20</v>
          </cell>
        </row>
        <row r="90">
          <cell r="A90" t="str">
            <v>E85102</v>
          </cell>
          <cell r="B90" t="str">
            <v>ﾙﾐｶﾗｲﾄ3ｲﾝﾁ　黄　(OEM)</v>
          </cell>
        </row>
        <row r="91">
          <cell r="A91" t="str">
            <v>E85103</v>
          </cell>
          <cell r="B91" t="str">
            <v>ﾙﾐｶﾗｲﾄ高輝度3ｲﾝﾁ ｲｴﾛｰ OLC仕様</v>
          </cell>
        </row>
        <row r="92">
          <cell r="A92" t="str">
            <v>E85451</v>
          </cell>
          <cell r="B92" t="str">
            <v>光るアウトドアライト12H（イエロー）</v>
          </cell>
        </row>
        <row r="93">
          <cell r="A93" t="str">
            <v>E85452</v>
          </cell>
          <cell r="B93" t="str">
            <v>光るアウトドアライト12H（グリーン）</v>
          </cell>
        </row>
        <row r="94">
          <cell r="A94" t="str">
            <v>E85453</v>
          </cell>
          <cell r="B94" t="str">
            <v>光るアウトドアライト12H（オレンジ）</v>
          </cell>
        </row>
        <row r="95">
          <cell r="A95" t="str">
            <v>E86026</v>
          </cell>
          <cell r="B95" t="str">
            <v>ﾐﾆｽﾃｨｯｸﾗｲﾄ1.5inch(GREEN,100本入)</v>
          </cell>
        </row>
        <row r="96">
          <cell r="A96" t="str">
            <v>E86027</v>
          </cell>
          <cell r="B96" t="str">
            <v>ﾐﾆｽﾃｨｯｸﾗｲﾄ1.5inch(RED,100本入)</v>
          </cell>
        </row>
        <row r="97">
          <cell r="A97" t="str">
            <v>E86028</v>
          </cell>
          <cell r="B97" t="str">
            <v>ﾐﾆｽﾃｨｯｸﾗｲﾄ2inch(GREEN,100本入)</v>
          </cell>
        </row>
        <row r="98">
          <cell r="A98" t="str">
            <v>E86029</v>
          </cell>
          <cell r="B98" t="str">
            <v>ﾐﾆｽﾃｨｯｸﾗｲﾄ2inch(RED,100本入)</v>
          </cell>
        </row>
        <row r="99">
          <cell r="A99" t="str">
            <v>E86030</v>
          </cell>
          <cell r="B99" t="str">
            <v>ﾐﾆｽﾃｨｯｸﾗｲﾄ3inch(GREEN,50本入)</v>
          </cell>
        </row>
        <row r="100">
          <cell r="A100" t="str">
            <v>E86039</v>
          </cell>
          <cell r="B100" t="str">
            <v>ﾐﾆｽﾃｨｯｸﾗｲﾄ25(Φ2.9×23mm,G,100本入)</v>
          </cell>
        </row>
        <row r="101">
          <cell r="A101" t="str">
            <v>E86071</v>
          </cell>
          <cell r="B101" t="str">
            <v>PN01 REVO ﾈｯｸﾚｽﾊﾟｰﾂ(留め具付)</v>
          </cell>
        </row>
        <row r="102">
          <cell r="A102" t="str">
            <v>E86072</v>
          </cell>
          <cell r="B102" t="str">
            <v>PN01 REVO LEDﾕﾆｯﾄﾊﾟｰﾂ</v>
          </cell>
        </row>
        <row r="103">
          <cell r="A103" t="str">
            <v>E86073</v>
          </cell>
          <cell r="B103" t="str">
            <v>PN01 REVO USB充電器</v>
          </cell>
        </row>
        <row r="104">
          <cell r="A104" t="str">
            <v>E86074</v>
          </cell>
          <cell r="B104" t="str">
            <v>045s PUSH TYPE ターコイズ・金・紐</v>
          </cell>
        </row>
        <row r="105">
          <cell r="A105" t="str">
            <v>E86075</v>
          </cell>
          <cell r="B105" t="str">
            <v>045w PUSH TYPE ﾀｰｺｲｽﾞ・SUS素地・ﾜｲﾔｰ</v>
          </cell>
        </row>
        <row r="106">
          <cell r="A106" t="str">
            <v>E86131</v>
          </cell>
          <cell r="B106" t="str">
            <v>光るスティック(GREEN)</v>
          </cell>
        </row>
        <row r="107">
          <cell r="A107" t="str">
            <v>E86132</v>
          </cell>
          <cell r="B107" t="str">
            <v>光るスティック(BLUE)</v>
          </cell>
        </row>
        <row r="108">
          <cell r="A108" t="str">
            <v>E86133</v>
          </cell>
          <cell r="B108" t="str">
            <v>光るスティック(PINK)</v>
          </cell>
        </row>
        <row r="109">
          <cell r="A109" t="str">
            <v>E86134</v>
          </cell>
          <cell r="B109" t="str">
            <v>光るスティック(YELLOW)</v>
          </cell>
        </row>
        <row r="110">
          <cell r="A110" t="str">
            <v>E86135</v>
          </cell>
          <cell r="B110" t="str">
            <v>光るスティック(RED)</v>
          </cell>
        </row>
        <row r="111">
          <cell r="A111" t="str">
            <v>E86812</v>
          </cell>
          <cell r="B111" t="str">
            <v>T002ｸﾚﾍﾞﾘﾝproｽﾃｨｯｸｹｰｽﾀｲﾌﾟつめかえ</v>
          </cell>
        </row>
        <row r="112">
          <cell r="A112" t="str">
            <v>E86827</v>
          </cell>
          <cell r="B112" t="str">
            <v>T002WｸﾚﾍﾞﾘﾝGｽﾃｨｯｸ詰替用(個包装)36本</v>
          </cell>
        </row>
        <row r="113">
          <cell r="A113" t="str">
            <v>E86828</v>
          </cell>
          <cell r="B113" t="str">
            <v>T001Wｸﾚﾍﾞﾘﾝproｽﾃｨｯｸｹｰｽﾀｲﾌﾟ2本用</v>
          </cell>
        </row>
        <row r="114">
          <cell r="A114" t="str">
            <v>E86835</v>
          </cell>
          <cell r="B114" t="str">
            <v>T001Sｸﾚﾍﾞﾘﾝproｽﾃｨｯｸｹｰｽﾀｲﾌﾟ6本用</v>
          </cell>
        </row>
      </sheetData>
      <sheetData sheetId="8">
        <row r="1">
          <cell r="B1"/>
        </row>
        <row r="2">
          <cell r="B2" t="str">
            <v>仕入玩具</v>
          </cell>
        </row>
        <row r="3">
          <cell r="A3" t="str">
            <v>CODE</v>
          </cell>
          <cell r="B3" t="str">
            <v>商品名　</v>
          </cell>
        </row>
        <row r="4">
          <cell r="A4" t="str">
            <v>G06011</v>
          </cell>
          <cell r="B4" t="str">
            <v>ミラクルキッチンワイプス　10x10㎝</v>
          </cell>
        </row>
        <row r="5">
          <cell r="A5" t="str">
            <v>G06012</v>
          </cell>
          <cell r="B5" t="str">
            <v>ｶﾗﾋﾞﾅ付ｱｸｽﾀｹｰｽ(ﾚｯﾄﾞ)</v>
          </cell>
        </row>
        <row r="6">
          <cell r="A6" t="str">
            <v>G06013</v>
          </cell>
          <cell r="B6" t="str">
            <v>ｶﾗﾋﾞﾅ付ｱｸｽﾀｹｰｽ(ﾌﾞﾙｰ)</v>
          </cell>
        </row>
        <row r="7">
          <cell r="A7" t="str">
            <v>G06014</v>
          </cell>
          <cell r="B7" t="str">
            <v>ｶﾗﾋﾞﾅ付ｱｸｽﾀｹｰｽ(ｸﾞﾘｰﾝ)</v>
          </cell>
        </row>
        <row r="8">
          <cell r="A8" t="str">
            <v>G06015</v>
          </cell>
          <cell r="B8" t="str">
            <v>ｶﾗﾋﾞﾅ付ｱｸｽﾀｹｰｽ(ﾋﾟﾝｸ)</v>
          </cell>
        </row>
        <row r="9">
          <cell r="A9" t="str">
            <v>G06016</v>
          </cell>
          <cell r="B9" t="str">
            <v>ｶﾗﾋﾞﾅ付ｱｸｽﾀｹｰｽ(ｲｴﾛｰ)</v>
          </cell>
        </row>
        <row r="10">
          <cell r="A10" t="str">
            <v>G06017</v>
          </cell>
          <cell r="B10" t="str">
            <v>ｶﾗﾋﾞﾅ付ｱｸｽﾀｹｰｽ(ﾊﾟｰﾌﾟﾙ)</v>
          </cell>
        </row>
        <row r="11">
          <cell r="A11" t="str">
            <v>G06018</v>
          </cell>
          <cell r="B11" t="str">
            <v>ｶﾗﾋﾞﾅ付ｱｸｽﾀｹｰｽ(ｵﾚﾝｼﾞ)</v>
          </cell>
        </row>
        <row r="12">
          <cell r="A12" t="str">
            <v>G06019</v>
          </cell>
          <cell r="B12" t="str">
            <v>ｶﾗﾋﾞﾅ付ｱｸｽﾀｹｰｽ(ﾌﾞﾗｯｸ)</v>
          </cell>
        </row>
        <row r="13">
          <cell r="A13" t="str">
            <v>G06040</v>
          </cell>
          <cell r="B13" t="str">
            <v>むぎゅっと!!ぬい活ﾍﾟﾝﾗｲﾄ</v>
          </cell>
        </row>
        <row r="14">
          <cell r="A14" t="str">
            <v>G06041</v>
          </cell>
          <cell r="B14" t="str">
            <v>ﾙﾐｶｰﾄﾞ</v>
          </cell>
        </row>
        <row r="15">
          <cell r="A15" t="str">
            <v>G06033</v>
          </cell>
          <cell r="B15" t="str">
            <v>反射シール(黒)</v>
          </cell>
        </row>
        <row r="16">
          <cell r="A16" t="str">
            <v>G06034</v>
          </cell>
          <cell r="B16" t="str">
            <v>反射シール(ミックス･黒)</v>
          </cell>
        </row>
        <row r="17">
          <cell r="A17" t="str">
            <v>E85371</v>
          </cell>
          <cell r="B17" t="str">
            <v>備蓄用ウェットボディタオル</v>
          </cell>
        </row>
        <row r="18">
          <cell r="A18" t="str">
            <v>G06048</v>
          </cell>
          <cell r="B18" t="str">
            <v>備蓄用ウェットティッシュ(15枚入)</v>
          </cell>
        </row>
        <row r="19">
          <cell r="A19" t="str">
            <v>G06049</v>
          </cell>
          <cell r="B19" t="str">
            <v>新ミラクルキッチンワイプス</v>
          </cell>
        </row>
        <row r="20">
          <cell r="A20" t="str">
            <v>G06050</v>
          </cell>
          <cell r="B20" t="str">
            <v>新洗たく用洗剤シート</v>
          </cell>
        </row>
        <row r="21">
          <cell r="A21" t="str">
            <v>G06051</v>
          </cell>
          <cell r="B21" t="str">
            <v>モーリアンヒートパックＭ</v>
          </cell>
        </row>
        <row r="22">
          <cell r="A22" t="str">
            <v>G06058</v>
          </cell>
          <cell r="B22" t="str">
            <v>防災備蓄用エアーマット</v>
          </cell>
        </row>
        <row r="23">
          <cell r="A23" t="str">
            <v>G06127</v>
          </cell>
          <cell r="B23" t="str">
            <v>防災リュック(15Lｻｲｽﾞ)</v>
          </cell>
        </row>
        <row r="24">
          <cell r="A24" t="str">
            <v>G06128</v>
          </cell>
          <cell r="B24" t="str">
            <v>飲み水を持ち運べるｳｫｰﾀｰﾊﾞｯｸﾞ4L</v>
          </cell>
        </row>
        <row r="25">
          <cell r="A25" t="str">
            <v>G06129</v>
          </cell>
          <cell r="B25" t="str">
            <v>ポンチョ型レインコート</v>
          </cell>
        </row>
        <row r="26">
          <cell r="A26" t="str">
            <v>G06130</v>
          </cell>
          <cell r="B26" t="str">
            <v>アルミシート</v>
          </cell>
        </row>
        <row r="27">
          <cell r="A27" t="str">
            <v>G06131</v>
          </cell>
          <cell r="B27" t="str">
            <v>軍手</v>
          </cell>
        </row>
        <row r="28">
          <cell r="A28" t="str">
            <v>G06132</v>
          </cell>
          <cell r="B28" t="str">
            <v>防災バッグ</v>
          </cell>
        </row>
        <row r="29">
          <cell r="A29" t="str">
            <v>G06133</v>
          </cell>
          <cell r="B29" t="str">
            <v>ポータブルラジオ</v>
          </cell>
        </row>
        <row r="30">
          <cell r="A30" t="str">
            <v>G06134</v>
          </cell>
          <cell r="B30" t="str">
            <v>非常用トイレ（吸収シートタイプ）</v>
          </cell>
        </row>
        <row r="31">
          <cell r="A31" t="str">
            <v>G06135</v>
          </cell>
          <cell r="B31" t="str">
            <v>備蓄用圧縮バスタオル</v>
          </cell>
        </row>
        <row r="32">
          <cell r="A32" t="str">
            <v>G06161</v>
          </cell>
          <cell r="B32" t="str">
            <v>防災バッグ 20点ｾｯﾄ 2</v>
          </cell>
        </row>
        <row r="33">
          <cell r="A33" t="str">
            <v>G06162</v>
          </cell>
          <cell r="B33" t="str">
            <v>防災バッグ 情報収集セット</v>
          </cell>
        </row>
        <row r="34">
          <cell r="A34" t="str">
            <v>G06163</v>
          </cell>
          <cell r="B34" t="str">
            <v>防災バッグ 安眠避難ｾｯﾄ 2</v>
          </cell>
        </row>
        <row r="35">
          <cell r="A35" t="str">
            <v>G06164</v>
          </cell>
          <cell r="B35" t="str">
            <v>防災バッグ 衛生管理ｾｯﾄ 2</v>
          </cell>
        </row>
        <row r="36">
          <cell r="A36" t="str">
            <v>G06176</v>
          </cell>
          <cell r="B36" t="str">
            <v>ハンディメディカル</v>
          </cell>
        </row>
        <row r="37">
          <cell r="A37" t="str">
            <v>G06177</v>
          </cell>
          <cell r="B37" t="str">
            <v>ちょっと安眠セット</v>
          </cell>
        </row>
        <row r="38">
          <cell r="A38" t="str">
            <v>G06178</v>
          </cell>
          <cell r="B38" t="str">
            <v>防災バッグ 20点ｾｯﾄ 2</v>
          </cell>
        </row>
        <row r="39">
          <cell r="A39" t="str">
            <v>G06179</v>
          </cell>
          <cell r="B39" t="str">
            <v>防災バッグ 安眠避難ｾｯﾄ 2</v>
          </cell>
        </row>
        <row r="40">
          <cell r="A40" t="str">
            <v>G06180</v>
          </cell>
          <cell r="B40" t="str">
            <v>防災バッグ 衛生管理ｾｯﾄ 2</v>
          </cell>
        </row>
        <row r="41">
          <cell r="A41" t="str">
            <v>G06187</v>
          </cell>
          <cell r="B41" t="str">
            <v>防災バッグ 20点ｾｯﾄ 2＋食品、水</v>
          </cell>
        </row>
        <row r="42">
          <cell r="A42" t="str">
            <v>G06188</v>
          </cell>
          <cell r="B42" t="str">
            <v>三立製菓 カンパン</v>
          </cell>
        </row>
        <row r="43">
          <cell r="A43" t="str">
            <v>G06189</v>
          </cell>
          <cell r="B43" t="str">
            <v>あんしん保存水 7年保存500ml</v>
          </cell>
        </row>
        <row r="44">
          <cell r="A44" t="str">
            <v>G06209</v>
          </cell>
          <cell r="B44" t="str">
            <v>防災バッグ 在宅避難セット</v>
          </cell>
        </row>
        <row r="45">
          <cell r="A45" t="str">
            <v>G06210</v>
          </cell>
          <cell r="B45" t="str">
            <v>セイフティホイッスル</v>
          </cell>
        </row>
        <row r="46">
          <cell r="A46" t="str">
            <v>G09223</v>
          </cell>
          <cell r="B46" t="str">
            <v>サビキ釣りスタートセット</v>
          </cell>
        </row>
        <row r="47">
          <cell r="A47" t="str">
            <v>G09224</v>
          </cell>
          <cell r="B47" t="str">
            <v>ちょい投げスタートセット</v>
          </cell>
        </row>
        <row r="48">
          <cell r="A48" t="str">
            <v>G09229</v>
          </cell>
          <cell r="B48" t="str">
            <v>ﾎｯとするﾎﾟｰﾁお出かけｾｯﾄ L-SQ1</v>
          </cell>
        </row>
        <row r="49">
          <cell r="A49" t="str">
            <v>G09230</v>
          </cell>
          <cell r="B49" t="str">
            <v>水のいらない歯みがきｼｰﾄ 10枚入り</v>
          </cell>
        </row>
        <row r="50">
          <cell r="A50" t="str">
            <v>G09231</v>
          </cell>
          <cell r="B50" t="str">
            <v>水のいらない泡なしｼｬﾝﾌﾟｰﾀｵﾙ 2枚入</v>
          </cell>
        </row>
        <row r="51">
          <cell r="A51" t="str">
            <v>G09232</v>
          </cell>
          <cell r="B51" t="str">
            <v>貼らない常備用ｶｲﾛ超温</v>
          </cell>
        </row>
        <row r="52">
          <cell r="A52" t="str">
            <v>G09233</v>
          </cell>
          <cell r="B52" t="str">
            <v>ﾓﾊﾞｲﾙﾊﾞｯﾃﾘｰ(単三×4本)</v>
          </cell>
        </row>
        <row r="53">
          <cell r="A53" t="str">
            <v>G09234</v>
          </cell>
          <cell r="B53" t="str">
            <v>もしもに役立つｻﾗﾝﾗｯﾌﾟ</v>
          </cell>
        </row>
        <row r="54">
          <cell r="A54" t="str">
            <v>G09235</v>
          </cell>
          <cell r="B54" t="str">
            <v>単三乾電池/10本</v>
          </cell>
        </row>
        <row r="55">
          <cell r="A55" t="str">
            <v>G25361</v>
          </cell>
          <cell r="B55" t="str">
            <v>BEAM BALL</v>
          </cell>
        </row>
        <row r="56">
          <cell r="A56" t="str">
            <v>G25362</v>
          </cell>
          <cell r="B56" t="str">
            <v>BEAM BALL -Baseball-(INDIVE)</v>
          </cell>
        </row>
        <row r="57">
          <cell r="A57" t="str">
            <v>G25933</v>
          </cell>
          <cell r="B57" t="str">
            <v>NICE BALL（個包装なし）</v>
          </cell>
        </row>
        <row r="58">
          <cell r="A58" t="str">
            <v>G20982</v>
          </cell>
          <cell r="B58" t="str">
            <v>パチパチライト 共通トップパーツ</v>
          </cell>
        </row>
        <row r="59">
          <cell r="A59" t="str">
            <v>G20983</v>
          </cell>
          <cell r="B59" t="str">
            <v>ラウンドライト 共通トップパーツ</v>
          </cell>
        </row>
        <row r="60">
          <cell r="A60" t="str">
            <v>G20984</v>
          </cell>
          <cell r="B60" t="str">
            <v>ハートペンライト　共通トップパーツ</v>
          </cell>
        </row>
        <row r="61">
          <cell r="A61" t="str">
            <v>G21001</v>
          </cell>
          <cell r="B61" t="str">
            <v>大閃光ブレード スリムSP 本体</v>
          </cell>
        </row>
        <row r="62">
          <cell r="A62" t="str">
            <v>G21002</v>
          </cell>
          <cell r="B62" t="str">
            <v>大閃光ブレード スリムSP Top Cover</v>
          </cell>
        </row>
        <row r="63">
          <cell r="A63" t="str">
            <v>G21003</v>
          </cell>
          <cell r="B63" t="str">
            <v>大閃光ブレード スリムSP フィルム</v>
          </cell>
        </row>
        <row r="64">
          <cell r="A64" t="str">
            <v>G21004</v>
          </cell>
          <cell r="B64" t="str">
            <v>大閃光ブレード スリムSP 導光棒</v>
          </cell>
        </row>
        <row r="65">
          <cell r="A65" t="str">
            <v>G21010</v>
          </cell>
          <cell r="B65" t="str">
            <v>大閃光ブレード白(国内組立品)</v>
          </cell>
        </row>
        <row r="66">
          <cell r="A66" t="str">
            <v>G21011</v>
          </cell>
          <cell r="B66" t="str">
            <v>大閃光ブレード グリップ</v>
          </cell>
        </row>
        <row r="67">
          <cell r="A67" t="str">
            <v>G21015</v>
          </cell>
          <cell r="B67" t="str">
            <v>大閃光ブレード黒(国内組立品)</v>
          </cell>
        </row>
        <row r="68">
          <cell r="A68" t="str">
            <v>G21016</v>
          </cell>
          <cell r="B68" t="str">
            <v>大閃光ブレード グリップ（黒）</v>
          </cell>
        </row>
        <row r="69">
          <cell r="A69" t="str">
            <v>G21024</v>
          </cell>
          <cell r="B69" t="str">
            <v>ハートライト白（国内組立品）</v>
          </cell>
        </row>
        <row r="70">
          <cell r="A70" t="str">
            <v>G21025</v>
          </cell>
          <cell r="B70" t="str">
            <v>ハートペンライト黒（国内組立品）</v>
          </cell>
        </row>
        <row r="71">
          <cell r="A71" t="str">
            <v>G21030</v>
          </cell>
          <cell r="B71" t="str">
            <v>Lumi-Airﾁｭｰﾌﾞ 完成品(国内組立)</v>
          </cell>
        </row>
        <row r="72">
          <cell r="A72" t="str">
            <v>G26200</v>
          </cell>
          <cell r="B72" t="str">
            <v>Lumi-Airグリップ(白)</v>
          </cell>
        </row>
        <row r="73">
          <cell r="A73" t="str">
            <v>G26201</v>
          </cell>
          <cell r="B73" t="str">
            <v>Lumi-Air</v>
          </cell>
        </row>
        <row r="74">
          <cell r="A74" t="str">
            <v>G26303</v>
          </cell>
          <cell r="B74" t="str">
            <v>LUMI HEART TOP PARTS</v>
          </cell>
        </row>
        <row r="75">
          <cell r="A75" t="str">
            <v>G26496</v>
          </cell>
          <cell r="B75" t="str">
            <v>Lumi-Air〈ﾗｳﾝﾄﾞ型〉</v>
          </cell>
        </row>
        <row r="76">
          <cell r="A76" t="str">
            <v>G26616</v>
          </cell>
          <cell r="B76" t="str">
            <v>むぎゅっと!!ぬい活ﾍﾟﾝﾗｲﾄﾄﾞﾝｷ限定ﾓﾃﾞﾙ</v>
          </cell>
        </row>
        <row r="77">
          <cell r="A77" t="str">
            <v>G26617</v>
          </cell>
          <cell r="B77" t="str">
            <v>ﾙﾐｶｰﾄﾞ　ﾄﾞﾝｷ限定ﾓﾃﾞﾙ</v>
          </cell>
        </row>
        <row r="78">
          <cell r="A78" t="str">
            <v>G26618</v>
          </cell>
          <cell r="B78" t="str">
            <v>推しが輝くLEDﾃﾞｨｽﾌﾟﾚｲｹｰｽ</v>
          </cell>
        </row>
        <row r="79">
          <cell r="A79" t="str">
            <v>G26897</v>
          </cell>
          <cell r="B79" t="str">
            <v>てくてくザウルス (T・レックス)</v>
          </cell>
        </row>
        <row r="80">
          <cell r="A80" t="str">
            <v>G26900</v>
          </cell>
          <cell r="B80" t="str">
            <v>てくてくザウルス (トリケラトプス)</v>
          </cell>
        </row>
        <row r="81">
          <cell r="A81" t="str">
            <v>G26901</v>
          </cell>
          <cell r="B81" t="str">
            <v>てくてくザウルス (ステゴサウルス)</v>
          </cell>
        </row>
        <row r="82">
          <cell r="A82" t="str">
            <v>G27147</v>
          </cell>
          <cell r="B82" t="str">
            <v>大閃光ブレード100　STR</v>
          </cell>
        </row>
        <row r="83">
          <cell r="A83" t="str">
            <v>G27328</v>
          </cell>
          <cell r="B83" t="str">
            <v>ぼくたちエレメンツ2</v>
          </cell>
        </row>
        <row r="84">
          <cell r="A84" t="str">
            <v>G25536</v>
          </cell>
          <cell r="B84" t="str">
            <v>ぼくたちエレメンツ3</v>
          </cell>
        </row>
        <row r="85">
          <cell r="A85" t="str">
            <v>G27329</v>
          </cell>
          <cell r="B85" t="str">
            <v>Lumi-Airチューブ</v>
          </cell>
        </row>
        <row r="86">
          <cell r="A86" t="str">
            <v>G27493</v>
          </cell>
          <cell r="B86" t="str">
            <v>LEDｱｸﾘﾙｽﾀﾝﾄﾞ用 台座(白)</v>
          </cell>
        </row>
        <row r="87">
          <cell r="A87" t="str">
            <v>G27494</v>
          </cell>
          <cell r="B87" t="str">
            <v>LEDｱｸﾘﾙｽﾀﾝﾄﾞ用 台座(黒)</v>
          </cell>
        </row>
        <row r="88">
          <cell r="A88" t="str">
            <v>G27495</v>
          </cell>
          <cell r="B88" t="str">
            <v>LEDｱｸﾘﾙｽﾀﾝﾄﾞ用 ｱｸﾘﾙ</v>
          </cell>
        </row>
        <row r="89">
          <cell r="A89" t="str">
            <v>G27496</v>
          </cell>
          <cell r="B89" t="str">
            <v>LEDｱｸﾘﾙｽﾀﾝﾄﾞ用 販売箱</v>
          </cell>
        </row>
        <row r="90">
          <cell r="A90" t="str">
            <v>G27522</v>
          </cell>
          <cell r="B90" t="str">
            <v>LEDｱｸﾘﾙｽﾀﾝﾄﾞ白 完成品(国内組立)</v>
          </cell>
        </row>
        <row r="91">
          <cell r="A91" t="str">
            <v>G27523</v>
          </cell>
          <cell r="B91" t="str">
            <v>LEDｱｸﾘﾙｽﾀﾝﾄﾞ黒 完成品(国内組立)</v>
          </cell>
        </row>
        <row r="92">
          <cell r="A92" t="str">
            <v>G27546</v>
          </cell>
          <cell r="B92" t="str">
            <v>大閃光ブレードCharge</v>
          </cell>
        </row>
        <row r="93">
          <cell r="A93" t="str">
            <v>G27547</v>
          </cell>
          <cell r="B93" t="str">
            <v>大閃光ブレードEasy</v>
          </cell>
        </row>
        <row r="94">
          <cell r="A94" t="str">
            <v>G27588</v>
          </cell>
          <cell r="B94" t="str">
            <v>大閃光ブレード100(黒)　STR</v>
          </cell>
        </row>
        <row r="95">
          <cell r="A95" t="str">
            <v>G27601</v>
          </cell>
          <cell r="B95" t="str">
            <v>ｱｸﾘﾙｽﾀﾝﾄﾞ用ﾗｲﾄｱｯﾌﾟｽﾃｰｼﾞ</v>
          </cell>
        </row>
        <row r="96">
          <cell r="A96" t="str">
            <v>G27647</v>
          </cell>
          <cell r="B96" t="str">
            <v>LUMI CUTE (ルミキュート)</v>
          </cell>
        </row>
        <row r="97">
          <cell r="A97" t="str">
            <v>G27701</v>
          </cell>
          <cell r="B97" t="str">
            <v>ﾌｧﾝｻﾍﾟﾝﾗｲﾄ 指さして</v>
          </cell>
        </row>
        <row r="98">
          <cell r="A98" t="str">
            <v>G27702</v>
          </cell>
          <cell r="B98" t="str">
            <v>ﾌｧﾝｻﾍﾟﾝﾗｲﾄ 3秒見つめて</v>
          </cell>
        </row>
        <row r="99">
          <cell r="A99" t="str">
            <v>G27703</v>
          </cell>
          <cell r="B99" t="str">
            <v>ﾌｧﾝｻﾍﾟﾝﾗｲﾄ 撃って</v>
          </cell>
        </row>
        <row r="100">
          <cell r="A100" t="str">
            <v>G27704</v>
          </cell>
          <cell r="B100" t="str">
            <v>ﾌｧﾝｻﾍﾟﾝﾗｲﾄ ハート作って</v>
          </cell>
        </row>
        <row r="101">
          <cell r="A101" t="str">
            <v>G27705</v>
          </cell>
          <cell r="B101" t="str">
            <v>ﾌｧﾝｻﾍﾟﾝﾗｲﾄ 投げchuして</v>
          </cell>
        </row>
        <row r="102">
          <cell r="A102" t="str">
            <v>G25123</v>
          </cell>
          <cell r="B102" t="str">
            <v>ﾙﾐﾒｶﾞﾎﾝ　ﾄﾞﾝ･ｷﾎｰﾃ限定ﾓﾃﾞﾙ</v>
          </cell>
        </row>
        <row r="103">
          <cell r="A103" t="str">
            <v>G25124</v>
          </cell>
          <cell r="B103" t="str">
            <v>ｷｬﾄられﾗｲﾄｱｯﾌﾟｷｰﾎﾙﾀﾞｰﾄﾞﾝｷﾎｰﾃ限定ﾓﾃﾞﾙ</v>
          </cell>
        </row>
        <row r="104">
          <cell r="A104" t="str">
            <v>G27717</v>
          </cell>
          <cell r="B104" t="str">
            <v>ルミハート　ドン・キホーテ限定モデル</v>
          </cell>
        </row>
        <row r="105">
          <cell r="A105" t="str">
            <v>G27718</v>
          </cell>
          <cell r="B105" t="str">
            <v>ルミキュート　ﾄﾞﾝｷﾎｰﾃ限定ﾓﾃﾞﾙ</v>
          </cell>
        </row>
        <row r="106">
          <cell r="A106" t="str">
            <v>G27719</v>
          </cell>
          <cell r="B106" t="str">
            <v>大閃光ﾌﾞﾚｰﾄﾞ Simple ﾄﾞﾝｷﾎｰﾃ限定ﾓﾃﾞﾙ</v>
          </cell>
        </row>
        <row r="107">
          <cell r="A107" t="str">
            <v>G27720</v>
          </cell>
          <cell r="B107" t="str">
            <v>大閃光ﾌﾞﾚｰﾄﾞ Charge ﾄﾞﾝｷﾎｰﾃ限定ﾓﾃﾞﾙ</v>
          </cell>
        </row>
        <row r="108">
          <cell r="A108" t="str">
            <v>G28041</v>
          </cell>
          <cell r="B108" t="str">
            <v>大閃光ﾌﾞﾚｰﾄﾞ300 ｸﾞﾘｰﾝｸﾞﾘｯﾌﾟ</v>
          </cell>
        </row>
        <row r="109">
          <cell r="A109" t="str">
            <v>G28042</v>
          </cell>
          <cell r="B109" t="str">
            <v>大閃光ﾌﾞﾚｰﾄﾞ300 ﾌﾞﾙｰｸﾞﾘｯﾌﾟ</v>
          </cell>
        </row>
        <row r="110">
          <cell r="A110" t="str">
            <v>G28043</v>
          </cell>
          <cell r="B110" t="str">
            <v>大閃光ﾌﾞﾚｰﾄﾞ300 ﾋﾟﾝｸｸﾞﾘｯﾌﾟ</v>
          </cell>
        </row>
        <row r="111">
          <cell r="A111" t="str">
            <v>G28044</v>
          </cell>
          <cell r="B111" t="str">
            <v>大閃光ﾌﾞﾚｰﾄﾞ300 ｵﾚﾝｼﾞｸﾞﾘｯﾌﾟ</v>
          </cell>
        </row>
        <row r="112">
          <cell r="A112" t="str">
            <v>G28046</v>
          </cell>
          <cell r="B112" t="str">
            <v>大閃光ﾌﾞﾚｰﾄﾞ300 ﾚｯﾄﾞｸﾞﾘｯﾌﾟ</v>
          </cell>
        </row>
        <row r="113">
          <cell r="A113" t="str">
            <v>G28047</v>
          </cell>
          <cell r="B113" t="str">
            <v>大閃光ﾌﾞﾚｰﾄﾞ300 ﾊﾞｲｵﾚｯﾄｸﾞﾘｯﾌﾟ</v>
          </cell>
        </row>
        <row r="114">
          <cell r="A114" t="str">
            <v>G28048</v>
          </cell>
          <cell r="B114" t="str">
            <v>大閃光ﾌﾞﾚｰﾄﾞ300 ｴﾒﾗﾙﾄﾞｸﾞﾘｰﾝｸﾞﾘｯﾌﾟ</v>
          </cell>
        </row>
        <row r="115">
          <cell r="A115" t="str">
            <v>G28050</v>
          </cell>
          <cell r="B115" t="str">
            <v>大閃光ﾌﾞﾚｰﾄﾞ300 ﾊﾟｽﾃﾙﾋﾟﾝｸｸﾞﾘｯﾌﾟ</v>
          </cell>
        </row>
        <row r="116">
          <cell r="A116" t="str">
            <v>G28157</v>
          </cell>
          <cell r="B116" t="str">
            <v>共通ﾌｨﾙﾑ(白)(ACE3/ﾌﾞﾚｰﾄﾞS/ﾊｰﾌ/vol.2)</v>
          </cell>
        </row>
        <row r="117">
          <cell r="A117" t="str">
            <v>G28158</v>
          </cell>
          <cell r="B117" t="str">
            <v>共通ﾁｭｰﾌﾞ(ACE3/ﾌﾞﾚｰﾄﾞS/ﾊｰﾌ/vol.2)</v>
          </cell>
        </row>
        <row r="118">
          <cell r="A118" t="str">
            <v>G28201</v>
          </cell>
          <cell r="B118" t="str">
            <v>大閃光ブレードＳ　ホワイト</v>
          </cell>
        </row>
        <row r="119">
          <cell r="A119" t="str">
            <v>G28225</v>
          </cell>
          <cell r="B119" t="str">
            <v>サインライト キャップ</v>
          </cell>
        </row>
        <row r="120">
          <cell r="A120" t="str">
            <v>G28502</v>
          </cell>
          <cell r="B120" t="str">
            <v>Lumi-Airグリップ(白)旧</v>
          </cell>
        </row>
        <row r="121">
          <cell r="A121" t="str">
            <v>G28519</v>
          </cell>
          <cell r="B121" t="str">
            <v>Lumi-Air旧</v>
          </cell>
        </row>
        <row r="122">
          <cell r="A122" t="str">
            <v>G28571</v>
          </cell>
          <cell r="B122" t="str">
            <v>ぼくたちエレメンツ</v>
          </cell>
        </row>
        <row r="123">
          <cell r="A123" t="str">
            <v>G28626</v>
          </cell>
          <cell r="B123" t="str">
            <v>大閃光ボタン電池LR44 3個ユニット</v>
          </cell>
        </row>
        <row r="124">
          <cell r="A124" t="str">
            <v>G28120</v>
          </cell>
          <cell r="B124" t="str">
            <v>大閃光ブレードＳ　グリップ WHITE LED</v>
          </cell>
        </row>
        <row r="125">
          <cell r="A125" t="str">
            <v>G28121</v>
          </cell>
          <cell r="B125" t="str">
            <v>大閃光ブレードＳ　グリップ RED LED</v>
          </cell>
        </row>
        <row r="126">
          <cell r="A126" t="str">
            <v>G28193</v>
          </cell>
          <cell r="B126" t="str">
            <v>大閃光ブレードＳ　フィルム　ピンク</v>
          </cell>
        </row>
        <row r="127">
          <cell r="A127" t="str">
            <v>G28255</v>
          </cell>
          <cell r="B127" t="str">
            <v>ﾍﾟﾝﾗｲﾄｽﾄｱ限定 ﾘﾝｸﾞﾗｲﾄ ｽﾀｰ</v>
          </cell>
        </row>
        <row r="128">
          <cell r="A128" t="str">
            <v>G28259</v>
          </cell>
          <cell r="B128" t="str">
            <v>ルミジュエル　スター</v>
          </cell>
        </row>
        <row r="129">
          <cell r="A129" t="str">
            <v>G28260</v>
          </cell>
          <cell r="B129" t="str">
            <v>ルミジュエル　ハート</v>
          </cell>
        </row>
        <row r="130">
          <cell r="A130" t="str">
            <v>G28261</v>
          </cell>
          <cell r="B130" t="str">
            <v>ルミジュエル　ラウンド</v>
          </cell>
        </row>
        <row r="131">
          <cell r="A131" t="str">
            <v>G25865</v>
          </cell>
          <cell r="B131" t="str">
            <v>LUMI STAR（ﾙﾐｽﾀｰ）</v>
          </cell>
        </row>
        <row r="132">
          <cell r="A132" t="str">
            <v>G28396</v>
          </cell>
          <cell r="B132" t="str">
            <v>LUMI HEART (ﾙﾐﾊｰﾄ)</v>
          </cell>
        </row>
        <row r="133">
          <cell r="A133" t="str">
            <v>G28293</v>
          </cell>
          <cell r="B133" t="str">
            <v>大閃光ブレードCompact</v>
          </cell>
        </row>
        <row r="134">
          <cell r="A134" t="str">
            <v>G28317</v>
          </cell>
          <cell r="B134" t="str">
            <v>大閃光ブレード ハーフ グリップ</v>
          </cell>
        </row>
        <row r="135">
          <cell r="A135" t="str">
            <v>G28566</v>
          </cell>
          <cell r="B135" t="str">
            <v>大閃光ブレード ハーフ グリップ黒</v>
          </cell>
        </row>
        <row r="136">
          <cell r="A136" t="str">
            <v>G28322</v>
          </cell>
          <cell r="B136" t="str">
            <v>大閃光ブレード ハーフ</v>
          </cell>
        </row>
        <row r="137">
          <cell r="A137" t="str">
            <v>G28400</v>
          </cell>
          <cell r="B137" t="str">
            <v>大閃光ブレード100　グリップ(黒)　STR</v>
          </cell>
        </row>
        <row r="138">
          <cell r="A138" t="str">
            <v>G28490</v>
          </cell>
          <cell r="B138" t="str">
            <v>大閃光ブレード100　フィルム　STR</v>
          </cell>
        </row>
        <row r="139">
          <cell r="A139" t="str">
            <v>G28491</v>
          </cell>
          <cell r="B139" t="str">
            <v>大閃光ブレード100　グリップ　STR</v>
          </cell>
        </row>
        <row r="140">
          <cell r="A140" t="str">
            <v>G28492</v>
          </cell>
          <cell r="B140" t="str">
            <v>大閃光ブレード100　チューブ　STR</v>
          </cell>
        </row>
        <row r="141">
          <cell r="A141" t="str">
            <v>G28797</v>
          </cell>
          <cell r="B141" t="str">
            <v>大閃光ブレード100 SP 黒</v>
          </cell>
        </row>
        <row r="142">
          <cell r="A142" t="str">
            <v>G28816</v>
          </cell>
          <cell r="B142" t="str">
            <v>大閃光ブレード100 SP チューブ</v>
          </cell>
        </row>
        <row r="143">
          <cell r="A143" t="str">
            <v>G28817</v>
          </cell>
          <cell r="B143" t="str">
            <v>大閃光ブレード100 SP グリップ</v>
          </cell>
        </row>
        <row r="144">
          <cell r="A144" t="str">
            <v>G28818</v>
          </cell>
          <cell r="B144" t="str">
            <v>大閃光ブレード100 SP キラキラシート</v>
          </cell>
        </row>
        <row r="145">
          <cell r="A145" t="str">
            <v>G28851</v>
          </cell>
          <cell r="B145" t="str">
            <v>大閃光ブレード100 SPグリップ（黒）</v>
          </cell>
        </row>
        <row r="146">
          <cell r="A146" t="str">
            <v>G28900</v>
          </cell>
          <cell r="B146" t="str">
            <v>大閃光ブレード100</v>
          </cell>
        </row>
        <row r="147">
          <cell r="A147" t="str">
            <v>G28902</v>
          </cell>
          <cell r="B147" t="str">
            <v>大閃光ブレード200</v>
          </cell>
        </row>
        <row r="148">
          <cell r="A148" t="str">
            <v>G28903</v>
          </cell>
          <cell r="B148" t="str">
            <v>大閃光ブレード300</v>
          </cell>
        </row>
        <row r="149">
          <cell r="A149" t="str">
            <v>G28909</v>
          </cell>
          <cell r="B149" t="str">
            <v>大閃光ブレード100SP(国内組立品)</v>
          </cell>
        </row>
        <row r="150">
          <cell r="A150" t="str">
            <v>G26568</v>
          </cell>
          <cell r="B150" t="str">
            <v>ﾙﾐｴｰｽDIAL(ﾀﾞｲｱﾙ) ｵｰﾛﾗﾎﾜｲﾄ</v>
          </cell>
        </row>
        <row r="151">
          <cell r="A151" t="str">
            <v>G28622</v>
          </cell>
          <cell r="B151" t="str">
            <v>ﾙﾐｴｰｽDIAL(ﾀﾞｲｱﾙ) ｵｰﾛﾗﾋﾟﾝｸ</v>
          </cell>
        </row>
        <row r="152">
          <cell r="A152" t="str">
            <v>G28623</v>
          </cell>
          <cell r="B152" t="str">
            <v>ﾙﾐｴｰｽDIAL(ﾀﾞｲｱﾙ) ﾑｰﾝﾗｲﾄﾌﾞﾙｰ</v>
          </cell>
        </row>
        <row r="153">
          <cell r="A153" t="str">
            <v>G28923</v>
          </cell>
          <cell r="B153" t="str">
            <v>ﾙﾐｴｰｽDIAL(ﾀﾞｲｱﾙ) ﾎﾜｲﾄ</v>
          </cell>
        </row>
        <row r="154">
          <cell r="A154" t="str">
            <v>G28645</v>
          </cell>
          <cell r="B154" t="str">
            <v>ペンライト用ストラップ　山吹</v>
          </cell>
        </row>
        <row r="155">
          <cell r="A155" t="str">
            <v>G28654</v>
          </cell>
          <cell r="B155" t="str">
            <v>ペンライトストラップ　グリーン</v>
          </cell>
        </row>
        <row r="156">
          <cell r="A156" t="str">
            <v>G28655</v>
          </cell>
          <cell r="B156" t="str">
            <v>ペンライトストラップ　ブルー</v>
          </cell>
        </row>
        <row r="157">
          <cell r="A157" t="str">
            <v>G28657</v>
          </cell>
          <cell r="B157" t="str">
            <v>ペンライトストラップ　オレンジ</v>
          </cell>
        </row>
        <row r="158">
          <cell r="A158" t="str">
            <v>G28660</v>
          </cell>
          <cell r="B158" t="str">
            <v>ペンライトストラップ　バイオレット</v>
          </cell>
        </row>
        <row r="159">
          <cell r="A159" t="str">
            <v>G28661</v>
          </cell>
          <cell r="B159" t="str">
            <v>ペンライトストラップ　浅葱</v>
          </cell>
        </row>
        <row r="160">
          <cell r="A160" t="str">
            <v>G27294</v>
          </cell>
          <cell r="B160" t="str">
            <v>大閃光ﾌﾞﾚｰﾄﾞ100 ﾄﾞﾝ･ｷﾎｰﾃ限定ﾓﾃﾞﾙ</v>
          </cell>
        </row>
        <row r="161">
          <cell r="A161" t="str">
            <v>G27295</v>
          </cell>
          <cell r="B161" t="str">
            <v>大閃光ﾌﾞﾚｰﾄﾞ200 ﾄﾞﾝ･ｷﾎｰﾃ限定ﾓﾃﾞﾙ</v>
          </cell>
        </row>
        <row r="162">
          <cell r="A162" t="str">
            <v>G28946</v>
          </cell>
          <cell r="B162" t="str">
            <v>大閃光ブレード300　ﾄﾞﾝ･ｷﾎｰﾃ限定ﾓﾃﾞﾙ</v>
          </cell>
        </row>
        <row r="163">
          <cell r="A163" t="str">
            <v>G29119</v>
          </cell>
          <cell r="B163" t="str">
            <v>ロープホルダー</v>
          </cell>
        </row>
        <row r="164">
          <cell r="A164" t="str">
            <v>G28649</v>
          </cell>
          <cell r="B164" t="str">
            <v>ルミエース SP レッド</v>
          </cell>
        </row>
        <row r="165">
          <cell r="A165" t="str">
            <v>G29419</v>
          </cell>
          <cell r="B165" t="str">
            <v>ルミエース SP ホワイト</v>
          </cell>
        </row>
        <row r="166">
          <cell r="A166" t="str">
            <v>G29420</v>
          </cell>
          <cell r="B166" t="str">
            <v>東芝製単4アルカリ乾電池　LR03T（JE）N</v>
          </cell>
        </row>
        <row r="167">
          <cell r="A167" t="str">
            <v>G29480</v>
          </cell>
          <cell r="B167" t="str">
            <v>LUMIACE SP ﾊﾝﾄﾞﾙ 白</v>
          </cell>
        </row>
        <row r="168">
          <cell r="A168" t="str">
            <v>G29481</v>
          </cell>
          <cell r="B168" t="str">
            <v>LUMIACE SP ﾊﾟｲﾌﾟ</v>
          </cell>
        </row>
        <row r="169">
          <cell r="A169" t="str">
            <v>G29482</v>
          </cell>
          <cell r="B169" t="str">
            <v>LUMIACE SP ｸﾞﾘｯﾀｰﾌｨﾙﾑ 白</v>
          </cell>
        </row>
        <row r="170">
          <cell r="A170" t="str">
            <v>G29483</v>
          </cell>
          <cell r="B170" t="str">
            <v>LUMIACE SP ｸﾞﾘｯﾀｰﾌｨﾙﾑ 青</v>
          </cell>
        </row>
        <row r="171">
          <cell r="A171" t="str">
            <v>G29484</v>
          </cell>
          <cell r="B171" t="str">
            <v>LUMIACE SP ｸﾞﾘｯﾀｰﾌｨﾙﾑ 緑</v>
          </cell>
        </row>
        <row r="172">
          <cell r="A172" t="str">
            <v>G28648</v>
          </cell>
          <cell r="B172" t="str">
            <v>LUMIACE SP ｸﾞﾘｯﾀｰﾌｨﾙﾑ 赤</v>
          </cell>
        </row>
        <row r="173">
          <cell r="A173" t="str">
            <v>G29487</v>
          </cell>
          <cell r="B173" t="str">
            <v>LUMIACE SP 単四型電池</v>
          </cell>
        </row>
        <row r="174">
          <cell r="A174" t="str">
            <v>G29668</v>
          </cell>
          <cell r="B174" t="str">
            <v>ルミエース2 グリップ(黒)</v>
          </cell>
        </row>
        <row r="175">
          <cell r="A175" t="str">
            <v>G29674</v>
          </cell>
          <cell r="B175" t="str">
            <v>ワンタッチ式　LUMI-LINK(中古)</v>
          </cell>
        </row>
        <row r="176">
          <cell r="A176" t="str">
            <v>G29682</v>
          </cell>
          <cell r="B176" t="str">
            <v>ルミエース2.5α SP</v>
          </cell>
        </row>
        <row r="177">
          <cell r="A177" t="str">
            <v>G29683</v>
          </cell>
          <cell r="B177" t="str">
            <v>ﾙﾐｴｰｽ2.5 SP ﾌｨﾙﾑ</v>
          </cell>
        </row>
        <row r="178">
          <cell r="A178" t="str">
            <v>G29684</v>
          </cell>
          <cell r="B178" t="str">
            <v>ﾙﾐｴｰｽ2.5 SP ﾁｭｰﾌﾞ</v>
          </cell>
        </row>
        <row r="179">
          <cell r="A179" t="str">
            <v>G29685</v>
          </cell>
          <cell r="B179" t="str">
            <v>ﾙﾐｴｰｽ2.5 SP ｸﾞﾘｯﾌﾟ白 (RGBW LED)</v>
          </cell>
        </row>
        <row r="180">
          <cell r="A180" t="str">
            <v>G29686</v>
          </cell>
          <cell r="B180" t="str">
            <v>ﾙﾐｴｰｽ2.5 SP ｸﾞﾘｯﾌﾟ黒 (RGBW LED)</v>
          </cell>
        </row>
        <row r="181">
          <cell r="A181" t="str">
            <v>G29687</v>
          </cell>
          <cell r="B181" t="str">
            <v>ﾙﾐｴｰｽ2.5α SP ｸﾞﾘｯﾌﾟ白 (RGBW LED)</v>
          </cell>
        </row>
        <row r="182">
          <cell r="A182" t="str">
            <v>G29688</v>
          </cell>
          <cell r="B182" t="str">
            <v>ﾙﾐｴｰｽ2.5α SP ｸﾞﾘｯﾌﾟ黒 (RGBW LED)</v>
          </cell>
        </row>
        <row r="183">
          <cell r="A183" t="str">
            <v>G29735</v>
          </cell>
          <cell r="B183" t="str">
            <v>ルミエース STAR LIGHT キラキラタイプ</v>
          </cell>
        </row>
        <row r="184">
          <cell r="A184" t="str">
            <v>G29764</v>
          </cell>
          <cell r="B184" t="str">
            <v>ﾙﾐｴｰｽﾗｲﾄSP</v>
          </cell>
        </row>
        <row r="185">
          <cell r="A185" t="str">
            <v>G29786</v>
          </cell>
          <cell r="B185" t="str">
            <v>ルミエーススターライトSP</v>
          </cell>
        </row>
        <row r="186">
          <cell r="A186" t="str">
            <v>G29794</v>
          </cell>
          <cell r="B186" t="str">
            <v>ルミエース２オメガ　キラキラタイプ</v>
          </cell>
        </row>
        <row r="187">
          <cell r="A187" t="str">
            <v>G29795</v>
          </cell>
          <cell r="B187" t="str">
            <v>ルミエース２オメガ　マットタイプ</v>
          </cell>
        </row>
        <row r="188">
          <cell r="A188" t="str">
            <v>G29808</v>
          </cell>
          <cell r="B188" t="str">
            <v>ﾙﾐｴｰｽ2ｵﾒｶﾞ ﾄﾞﾝ･ｷﾎｰﾃ限定ﾓﾃﾞﾙ ｷﾗｷﾗﾀｲﾌﾟ</v>
          </cell>
        </row>
        <row r="189">
          <cell r="A189" t="str">
            <v>G29857</v>
          </cell>
          <cell r="B189" t="str">
            <v>ﾍﾟﾝﾗｲﾄ用ｽﾍﾟｱﾁｭｰﾌﾞ ｷﾗｷﾗﾀｲﾌﾟ</v>
          </cell>
        </row>
        <row r="190">
          <cell r="A190" t="str">
            <v>G29920</v>
          </cell>
          <cell r="B190" t="str">
            <v>ルミエース2.5α SP 黒</v>
          </cell>
        </row>
        <row r="191">
          <cell r="A191" t="str">
            <v>G29939</v>
          </cell>
          <cell r="B191" t="str">
            <v>大閃光電池</v>
          </cell>
        </row>
        <row r="192">
          <cell r="A192" t="str">
            <v>G80011</v>
          </cell>
          <cell r="B192" t="str">
            <v>Bi Rod 6G-7500</v>
          </cell>
        </row>
        <row r="193">
          <cell r="A193" t="str">
            <v>G80013</v>
          </cell>
          <cell r="B193" t="str">
            <v>Bi Rod 6G-7500+専用三脚セット</v>
          </cell>
        </row>
        <row r="194">
          <cell r="A194" t="str">
            <v>G80014</v>
          </cell>
          <cell r="B194" t="str">
            <v>Bi Rod 7500専用三脚（伸縮式）</v>
          </cell>
        </row>
        <row r="195">
          <cell r="A195" t="str">
            <v>G80016</v>
          </cell>
          <cell r="B195" t="str">
            <v>変換アダプター</v>
          </cell>
        </row>
        <row r="196">
          <cell r="A196" t="str">
            <v>G80017</v>
          </cell>
          <cell r="B196" t="str">
            <v>Bi Rod 7500シリーズ用三脚</v>
          </cell>
        </row>
        <row r="197">
          <cell r="A197" t="str">
            <v>G80021</v>
          </cell>
          <cell r="B197" t="str">
            <v>Bi Rod 6G-2000</v>
          </cell>
        </row>
        <row r="198">
          <cell r="A198" t="str">
            <v>G80022</v>
          </cell>
          <cell r="B198" t="str">
            <v>Bi Rod 6G-4500</v>
          </cell>
        </row>
        <row r="199">
          <cell r="A199" t="str">
            <v>G80023</v>
          </cell>
          <cell r="B199" t="str">
            <v>Bi Rod 6G-2000+専用三脚セット</v>
          </cell>
        </row>
        <row r="200">
          <cell r="A200" t="str">
            <v>G80024</v>
          </cell>
          <cell r="B200" t="str">
            <v>Bi Rod 6G-4500+専用三脚セット</v>
          </cell>
        </row>
        <row r="201">
          <cell r="A201" t="str">
            <v>G80027</v>
          </cell>
          <cell r="B201" t="str">
            <v>Biモバイルバッテリー</v>
          </cell>
        </row>
        <row r="202">
          <cell r="A202" t="str">
            <v>G80028</v>
          </cell>
          <cell r="B202" t="str">
            <v>iRodベルト</v>
          </cell>
        </row>
        <row r="203">
          <cell r="A203" t="str">
            <v>G80029</v>
          </cell>
          <cell r="B203" t="str">
            <v>Bi Wireless Line 6m</v>
          </cell>
        </row>
        <row r="204">
          <cell r="A204" t="str">
            <v>G80030</v>
          </cell>
          <cell r="B204" t="str">
            <v>Bi Wireless Line 10m</v>
          </cell>
        </row>
        <row r="205">
          <cell r="A205" t="str">
            <v>G80031</v>
          </cell>
          <cell r="B205" t="str">
            <v>Bi　Rod 6C-2000</v>
          </cell>
        </row>
        <row r="206">
          <cell r="A206" t="str">
            <v>G80032</v>
          </cell>
          <cell r="B206" t="str">
            <v>Bi　Rod 6C-4500</v>
          </cell>
        </row>
        <row r="207">
          <cell r="A207" t="str">
            <v>G80033</v>
          </cell>
          <cell r="B207" t="str">
            <v>Bi　Rod 6C-7500</v>
          </cell>
        </row>
        <row r="208">
          <cell r="A208" t="str">
            <v>G80035</v>
          </cell>
          <cell r="B208" t="str">
            <v>Bi Rod 6C-4500+専用三脚セット</v>
          </cell>
        </row>
        <row r="209">
          <cell r="A209" t="str">
            <v>G80036</v>
          </cell>
          <cell r="B209" t="str">
            <v>Bi Rod 6C-7500+専用三脚セット</v>
          </cell>
        </row>
        <row r="210">
          <cell r="A210" t="str">
            <v>G80041</v>
          </cell>
          <cell r="B210" t="str">
            <v>Bi　Rod クランプレバー</v>
          </cell>
        </row>
        <row r="211">
          <cell r="A211" t="str">
            <v>G80042</v>
          </cell>
          <cell r="B211" t="str">
            <v>Bi　Rod エンドキャップ</v>
          </cell>
        </row>
        <row r="212">
          <cell r="A212" t="str">
            <v>G80057</v>
          </cell>
          <cell r="B212" t="str">
            <v>Y字型 腰当てベルト</v>
          </cell>
        </row>
        <row r="213">
          <cell r="A213" t="str">
            <v>G80058</v>
          </cell>
          <cell r="B213" t="str">
            <v>Bi Wireless Line Plus 20m</v>
          </cell>
        </row>
        <row r="214">
          <cell r="A214" t="str">
            <v>G80059</v>
          </cell>
          <cell r="B214" t="str">
            <v>Bi Wireless Line Plus 50m</v>
          </cell>
        </row>
        <row r="215">
          <cell r="A215" t="str">
            <v>G80061</v>
          </cell>
          <cell r="B215" t="str">
            <v>クリップ式タブレットホルダー</v>
          </cell>
        </row>
        <row r="216">
          <cell r="A216" t="str">
            <v>G80063</v>
          </cell>
          <cell r="B216" t="str">
            <v>ホットシュー</v>
          </cell>
        </row>
        <row r="217">
          <cell r="A217" t="str">
            <v>G80066</v>
          </cell>
          <cell r="B217" t="str">
            <v>Bi Rod 6G-7500（ハードケースなし）</v>
          </cell>
        </row>
        <row r="218">
          <cell r="A218" t="str">
            <v>G80068</v>
          </cell>
          <cell r="B218" t="str">
            <v>Bi モニターホルダー</v>
          </cell>
        </row>
        <row r="219">
          <cell r="A219" t="str">
            <v>G80069</v>
          </cell>
          <cell r="B219" t="str">
            <v>Bi Rod 4500シリーズ用三脚</v>
          </cell>
        </row>
        <row r="220">
          <cell r="A220" t="str">
            <v>G80070</v>
          </cell>
          <cell r="B220" t="str">
            <v>Bi Rod 用シリコン製スマホホルダー</v>
          </cell>
        </row>
        <row r="221">
          <cell r="A221" t="str">
            <v>G80071</v>
          </cell>
          <cell r="B221" t="str">
            <v>Bi キャリーバッグ</v>
          </cell>
        </row>
        <row r="222">
          <cell r="A222" t="str">
            <v>G80072</v>
          </cell>
          <cell r="B222" t="str">
            <v>Bi Rod専用三脚用キャスター(3個ｾｯﾄ)</v>
          </cell>
        </row>
        <row r="223">
          <cell r="A223" t="str">
            <v>G80074</v>
          </cell>
          <cell r="B223" t="str">
            <v>雪庇用スクレーパー　3mm厚</v>
          </cell>
        </row>
        <row r="224">
          <cell r="A224" t="str">
            <v>G80075</v>
          </cell>
          <cell r="B224" t="str">
            <v>雪庇用ロッドセット</v>
          </cell>
        </row>
        <row r="225">
          <cell r="A225" t="str">
            <v>G80076</v>
          </cell>
          <cell r="B225" t="str">
            <v>Bi スマホホルダー</v>
          </cell>
        </row>
        <row r="226">
          <cell r="A226" t="str">
            <v>G80078</v>
          </cell>
          <cell r="B226" t="str">
            <v>Bi Rod 10C-11500</v>
          </cell>
        </row>
        <row r="227">
          <cell r="A227" t="str">
            <v>G80079</v>
          </cell>
          <cell r="B227" t="str">
            <v>ｽﾋﾟｺﾞｯﾄ(3/8ｵｽ&amp;5/8ｵｽねじﾀｲﾌﾟ)</v>
          </cell>
        </row>
        <row r="228">
          <cell r="A228" t="str">
            <v>G80080</v>
          </cell>
          <cell r="B228" t="str">
            <v>17mm ﾀﾞﾎﾞ受けｱﾀﾞﾌﾟﾀｰ</v>
          </cell>
        </row>
        <row r="229">
          <cell r="A229" t="str">
            <v>G80081</v>
          </cell>
          <cell r="B229" t="str">
            <v>Bi Rod専用 ﾀﾞﾎﾞ+ｽﾋﾟｺﾞｯﾄｱﾀﾞﾌﾟﾀｰｾｯﾄ</v>
          </cell>
        </row>
        <row r="230">
          <cell r="A230" t="str">
            <v>G80082</v>
          </cell>
          <cell r="B230" t="str">
            <v>Bi Wireless Line Plus 10m</v>
          </cell>
        </row>
        <row r="231">
          <cell r="A231" t="str">
            <v>G80083</v>
          </cell>
          <cell r="B231" t="str">
            <v>Bi Wireless Line 100m【※特注】</v>
          </cell>
        </row>
        <row r="232">
          <cell r="A232" t="str">
            <v>G80084</v>
          </cell>
          <cell r="B232" t="str">
            <v>三脚マウントアダプタ</v>
          </cell>
        </row>
        <row r="233">
          <cell r="A233" t="str">
            <v>G80085</v>
          </cell>
          <cell r="B233" t="str">
            <v>Bi Rod用 自由雲台</v>
          </cell>
        </row>
        <row r="234">
          <cell r="A234" t="str">
            <v>G80086</v>
          </cell>
          <cell r="B234" t="str">
            <v>Bi無線式電動雲台(デンウン)</v>
          </cell>
        </row>
        <row r="235">
          <cell r="A235" t="str">
            <v>G80214</v>
          </cell>
          <cell r="B235" t="str">
            <v>Bi見逃サーズ LEDユニット</v>
          </cell>
        </row>
        <row r="236">
          <cell r="A236" t="str">
            <v>G80216</v>
          </cell>
          <cell r="B236" t="str">
            <v>Bi Rod 6C-7500+伸縮式三脚セット</v>
          </cell>
        </row>
        <row r="237">
          <cell r="A237" t="str">
            <v>G80217</v>
          </cell>
          <cell r="B237" t="str">
            <v>Bi Rod 7.5mセット用ハードケース</v>
          </cell>
        </row>
        <row r="238">
          <cell r="A238" t="str">
            <v>G80218</v>
          </cell>
          <cell r="B238" t="str">
            <v>Bi Rod 7.5m単品用ハードケース</v>
          </cell>
        </row>
        <row r="239">
          <cell r="A239" t="str">
            <v>G80219</v>
          </cell>
          <cell r="B239" t="str">
            <v>Bi Rod専用ベアリング</v>
          </cell>
        </row>
        <row r="240">
          <cell r="A240" t="str">
            <v>G80226</v>
          </cell>
          <cell r="B240" t="str">
            <v>Bi Rod 11500用ハードケース    V06994より商品コード変更</v>
          </cell>
        </row>
        <row r="241">
          <cell r="A241" t="str">
            <v>G80227</v>
          </cell>
          <cell r="B241" t="str">
            <v>Bi Rod 6G-4500用ハードケース 　  V07028より商品コード変更</v>
          </cell>
        </row>
        <row r="242">
          <cell r="A242" t="str">
            <v>G80228</v>
          </cell>
          <cell r="B242" t="str">
            <v>Bi Rod 4500ｾｯﾄ用ﾊｰﾄﾞｹｰｽ   V07034より商品コード変更</v>
          </cell>
        </row>
        <row r="243">
          <cell r="A243" t="str">
            <v>G80229</v>
          </cell>
          <cell r="B243" t="str">
            <v>Bi Rod専用三脚ネジ</v>
          </cell>
        </row>
        <row r="244">
          <cell r="A244" t="str">
            <v>G80230</v>
          </cell>
          <cell r="B244" t="str">
            <v>Bi Rod用リング＆ロープ</v>
          </cell>
        </row>
        <row r="245">
          <cell r="A245" t="str">
            <v>G80231</v>
          </cell>
          <cell r="B245" t="str">
            <v>Bi水タンク10L</v>
          </cell>
        </row>
        <row r="246">
          <cell r="A246" t="str">
            <v>G80232</v>
          </cell>
          <cell r="B246" t="str">
            <v>Bi Rod用伸縮式三脚予備パーツ</v>
          </cell>
        </row>
        <row r="247">
          <cell r="A247" t="str">
            <v>G80233</v>
          </cell>
          <cell r="B247" t="str">
            <v>Bi Rod 11500 専用三脚</v>
          </cell>
        </row>
        <row r="248">
          <cell r="A248" t="str">
            <v>G80234</v>
          </cell>
          <cell r="B248" t="str">
            <v>Bi Rod三脚ゴム脚（3個入）</v>
          </cell>
        </row>
        <row r="249">
          <cell r="A249" t="str">
            <v>G80235</v>
          </cell>
          <cell r="B249" t="str">
            <v>Bi Rod 11.5m専用フットペダル</v>
          </cell>
        </row>
        <row r="250">
          <cell r="A250" t="str">
            <v>G80236</v>
          </cell>
          <cell r="B250" t="str">
            <v>Bi Boat Fishingnet</v>
          </cell>
        </row>
        <row r="251">
          <cell r="A251" t="str">
            <v>G80237</v>
          </cell>
          <cell r="B251" t="str">
            <v>Bi Rod 10C-11500＋専用三脚セット</v>
          </cell>
        </row>
        <row r="252">
          <cell r="A252" t="str">
            <v>G80238</v>
          </cell>
          <cell r="B252" t="str">
            <v>Bi SQUID SHOOTER</v>
          </cell>
        </row>
        <row r="253">
          <cell r="A253" t="str">
            <v>G80239</v>
          </cell>
          <cell r="B253" t="str">
            <v>Bi Rod 6G-2000＋三角ｺｰﾝ＋自由雲台ｾｯﾄ</v>
          </cell>
        </row>
        <row r="254">
          <cell r="A254" t="str">
            <v>G80240</v>
          </cell>
          <cell r="B254" t="str">
            <v>Bi Wireless Line 40m【特注】</v>
          </cell>
        </row>
        <row r="255">
          <cell r="A255" t="str">
            <v>G80241</v>
          </cell>
          <cell r="B255" t="str">
            <v>Bi Rod 11500三脚セット用ハードケース</v>
          </cell>
        </row>
        <row r="256">
          <cell r="A256" t="str">
            <v>G80242</v>
          </cell>
          <cell r="B256" t="str">
            <v>Bi Rod固定用ステンレスリング</v>
          </cell>
        </row>
        <row r="257">
          <cell r="A257" t="str">
            <v>G80243</v>
          </cell>
          <cell r="B257" t="str">
            <v>Bi Rod固定用ロープ3本組</v>
          </cell>
        </row>
        <row r="258">
          <cell r="A258" t="str">
            <v>G80244</v>
          </cell>
          <cell r="B258" t="str">
            <v>Biコーン用チルト雲台</v>
          </cell>
        </row>
        <row r="259">
          <cell r="A259" t="str">
            <v>G80245</v>
          </cell>
          <cell r="B259" t="str">
            <v>Aeye(R)Pole用8mロッド＋ハードケース</v>
          </cell>
        </row>
        <row r="260">
          <cell r="A260" t="str">
            <v>G80246</v>
          </cell>
          <cell r="B260" t="str">
            <v>Aeye(R)Pole用12mロッド＋ハードケース</v>
          </cell>
        </row>
        <row r="261">
          <cell r="A261" t="str">
            <v>G80247</v>
          </cell>
          <cell r="B261" t="str">
            <v>Bi Rod 2000単品用ハードケース</v>
          </cell>
        </row>
        <row r="262">
          <cell r="A262" t="str">
            <v>G80248</v>
          </cell>
          <cell r="B262" t="str">
            <v>Bi Rod 2000セット用ハードケース</v>
          </cell>
        </row>
        <row r="263">
          <cell r="A263" t="str">
            <v>G80249</v>
          </cell>
          <cell r="B263" t="str">
            <v>【ｾﾌﾃｯｸ様特注】Bi Rod 3C-3700</v>
          </cell>
        </row>
        <row r="264">
          <cell r="A264" t="str">
            <v>G80250</v>
          </cell>
          <cell r="B264" t="str">
            <v>BiRod10C11500　13m用延長アルミロッド</v>
          </cell>
        </row>
        <row r="265">
          <cell r="A265" t="str">
            <v>G80251</v>
          </cell>
          <cell r="B265" t="str">
            <v>WL用アタッチメント予備セット</v>
          </cell>
        </row>
        <row r="266">
          <cell r="A266" t="str">
            <v>G80252</v>
          </cell>
          <cell r="B266" t="str">
            <v>Bi Rod 10C-11500用エンドキャップ</v>
          </cell>
        </row>
        <row r="267">
          <cell r="A267" t="str">
            <v>G80253</v>
          </cell>
          <cell r="B267" t="str">
            <v>Bi Rod 7500専用三脚用ハードケース</v>
          </cell>
        </row>
        <row r="268">
          <cell r="A268" t="str">
            <v>G80254</v>
          </cell>
          <cell r="B268" t="str">
            <v>Bi Wireless Line 30m 【特注】</v>
          </cell>
        </row>
        <row r="269">
          <cell r="A269" t="str">
            <v>G80255</v>
          </cell>
          <cell r="B269" t="str">
            <v>Bi Wireless Line 1m 【特注】</v>
          </cell>
        </row>
        <row r="270">
          <cell r="A270" t="str">
            <v>G80256</v>
          </cell>
          <cell r="B270" t="str">
            <v>Bi インナーライン 2000</v>
          </cell>
        </row>
        <row r="271">
          <cell r="A271" t="str">
            <v>G80257</v>
          </cell>
          <cell r="B271" t="str">
            <v>Bi インナーライン 4500</v>
          </cell>
        </row>
        <row r="272">
          <cell r="A272" t="str">
            <v>G80258</v>
          </cell>
          <cell r="B272" t="str">
            <v>Bi インナーライン 7500</v>
          </cell>
        </row>
        <row r="273">
          <cell r="A273" t="str">
            <v>G80259</v>
          </cell>
          <cell r="B273" t="str">
            <v>Bi インナーライン 11500</v>
          </cell>
        </row>
        <row r="274">
          <cell r="A274" t="str">
            <v>G80260</v>
          </cell>
          <cell r="B274" t="str">
            <v>Bi Wireless Line 15m 【特注】</v>
          </cell>
        </row>
        <row r="275">
          <cell r="A275" t="str">
            <v>G80261</v>
          </cell>
          <cell r="B275" t="str">
            <v>BiRod用ロング石突</v>
          </cell>
        </row>
        <row r="276">
          <cell r="A276" t="str">
            <v>G80262</v>
          </cell>
          <cell r="B276" t="str">
            <v>【ﾚｰﾙﾃｯｸ様特注】Bi Rod 4C2G-7500</v>
          </cell>
        </row>
        <row r="277">
          <cell r="A277" t="str">
            <v>G80263</v>
          </cell>
          <cell r="B277" t="str">
            <v>BiRod６G4500＋三角コーン＋石突セット</v>
          </cell>
        </row>
        <row r="278">
          <cell r="A278" t="str">
            <v>G80264</v>
          </cell>
          <cell r="B278" t="str">
            <v>Bi Rod 9C2FG-A【東電PG様向け】</v>
          </cell>
        </row>
        <row r="279">
          <cell r="A279" t="str">
            <v>G80265</v>
          </cell>
          <cell r="B279" t="str">
            <v>Bi Wireless Line 16m 【特注】</v>
          </cell>
        </row>
        <row r="280">
          <cell r="A280" t="str">
            <v>G80266</v>
          </cell>
          <cell r="B280" t="str">
            <v>Bi Wireless Line 2m 【特注】</v>
          </cell>
        </row>
        <row r="281">
          <cell r="A281" t="str">
            <v>G80267</v>
          </cell>
          <cell r="B281" t="str">
            <v>Bi Wireless Line 3m 【特注】</v>
          </cell>
        </row>
        <row r="282">
          <cell r="A282" t="str">
            <v>G80268</v>
          </cell>
          <cell r="B282" t="str">
            <v>人孔撮影用ウィンチ付きBiRod7.5m</v>
          </cell>
        </row>
        <row r="283">
          <cell r="A283" t="str">
            <v>G80269</v>
          </cell>
          <cell r="B283" t="str">
            <v>Bi Wireless Line 4m　【特注】</v>
          </cell>
        </row>
        <row r="284">
          <cell r="A284" t="str">
            <v>G80270</v>
          </cell>
          <cell r="B284" t="str">
            <v>Bi Wireless Line 5m　【特注】</v>
          </cell>
        </row>
        <row r="285">
          <cell r="A285" t="str">
            <v>G80271</v>
          </cell>
          <cell r="B285" t="str">
            <v>Bi Wireless Line 6m　【特注】</v>
          </cell>
        </row>
        <row r="286">
          <cell r="A286" t="str">
            <v>G80272</v>
          </cell>
          <cell r="B286" t="str">
            <v>Bi Wireless Line 7m　【特注】</v>
          </cell>
        </row>
        <row r="287">
          <cell r="A287" t="str">
            <v>G80273</v>
          </cell>
          <cell r="B287" t="str">
            <v>Bi Wireless Line 8m　【特注】</v>
          </cell>
        </row>
        <row r="288">
          <cell r="A288" t="str">
            <v>G80274</v>
          </cell>
          <cell r="B288" t="str">
            <v>Bi Wireless Line 9m　【特注】</v>
          </cell>
        </row>
        <row r="289">
          <cell r="A289" t="str">
            <v>G80275</v>
          </cell>
          <cell r="B289" t="str">
            <v>Bi Wireless Line 11m　【特注】</v>
          </cell>
        </row>
        <row r="290">
          <cell r="A290" t="str">
            <v>G80276</v>
          </cell>
          <cell r="B290" t="str">
            <v>Bi Wireless Line 12m　【特注】</v>
          </cell>
        </row>
        <row r="291">
          <cell r="A291" t="str">
            <v>G80277</v>
          </cell>
          <cell r="B291" t="str">
            <v>Bi Wireless Line 13m　【特注】</v>
          </cell>
        </row>
        <row r="292">
          <cell r="A292" t="str">
            <v>G80278</v>
          </cell>
          <cell r="B292" t="str">
            <v>Bi Wireless Line 14m　【特注】</v>
          </cell>
        </row>
        <row r="293">
          <cell r="A293" t="str">
            <v>G80279</v>
          </cell>
          <cell r="B293" t="str">
            <v>Bi Wireless Line 17m　【特注】</v>
          </cell>
        </row>
        <row r="294">
          <cell r="A294" t="str">
            <v>G80280</v>
          </cell>
          <cell r="B294" t="str">
            <v>Bi Wireless Line 18m　【特注】</v>
          </cell>
        </row>
        <row r="295">
          <cell r="A295" t="str">
            <v>G80281</v>
          </cell>
          <cell r="B295" t="str">
            <v>Bi Wireless Line 19m　【特注】</v>
          </cell>
        </row>
        <row r="296">
          <cell r="A296" t="str">
            <v>G80282</v>
          </cell>
          <cell r="B296" t="str">
            <v>Bi Wireless Line 60m　【特注】</v>
          </cell>
        </row>
        <row r="297">
          <cell r="A297" t="str">
            <v>G80283</v>
          </cell>
          <cell r="B297" t="str">
            <v>Bi Wireless Line 70m　【特注】</v>
          </cell>
        </row>
        <row r="298">
          <cell r="A298" t="str">
            <v>G80284</v>
          </cell>
          <cell r="B298" t="str">
            <v>Bi Wireless Line 80m　【特注】</v>
          </cell>
        </row>
        <row r="299">
          <cell r="A299" t="str">
            <v>G80285</v>
          </cell>
          <cell r="B299" t="str">
            <v>Bi Wireless Line 90m　【特注】</v>
          </cell>
        </row>
        <row r="300">
          <cell r="A300" t="str">
            <v>G80286</v>
          </cell>
          <cell r="B300" t="str">
            <v>BiRod野外固定セット用11mロープ</v>
          </cell>
        </row>
        <row r="301">
          <cell r="A301" t="str">
            <v>G80288</v>
          </cell>
          <cell r="B301" t="str">
            <v>11500用Y字腰当てベルトパーツ</v>
          </cell>
        </row>
        <row r="302">
          <cell r="A302" t="str">
            <v>G80289</v>
          </cell>
          <cell r="B302" t="str">
            <v>11500用 Y字型腰当てベルトセット</v>
          </cell>
        </row>
        <row r="303">
          <cell r="A303" t="str">
            <v>G80290</v>
          </cell>
          <cell r="B303" t="str">
            <v>【ﾚｰﾙﾃｯｸ様特注】Bi Rod 7C3FG-11500</v>
          </cell>
        </row>
        <row r="304">
          <cell r="A304" t="str">
            <v>G80291</v>
          </cell>
          <cell r="B304" t="str">
            <v>7C3FG-11500（本体、ケース等）</v>
          </cell>
        </row>
        <row r="305">
          <cell r="A305" t="str">
            <v>G80292</v>
          </cell>
          <cell r="B305" t="str">
            <v>Wireless Line 付属品セット</v>
          </cell>
        </row>
        <row r="306">
          <cell r="A306" t="str">
            <v>G80293</v>
          </cell>
          <cell r="B306" t="str">
            <v>Bi Rod 9C2FG-B【東電PG様向け】</v>
          </cell>
        </row>
        <row r="307">
          <cell r="A307" t="str">
            <v>G80294</v>
          </cell>
          <cell r="B307" t="str">
            <v>Bi Rod 9C2FG 専用ショルダーベルト</v>
          </cell>
        </row>
        <row r="308">
          <cell r="A308" t="str">
            <v>G80295</v>
          </cell>
          <cell r="B308" t="str">
            <v>Bi Rod 6C-7500(ｹｰｽ色変更)</v>
          </cell>
        </row>
        <row r="309">
          <cell r="A309" t="str">
            <v>G80296</v>
          </cell>
          <cell r="B309" t="str">
            <v>Bi 無線式電動雲台（デンウン）V2</v>
          </cell>
        </row>
        <row r="310">
          <cell r="A310" t="str">
            <v>G80297</v>
          </cell>
          <cell r="B310" t="str">
            <v>ステンレス製変換アダプター</v>
          </cell>
        </row>
        <row r="311">
          <cell r="A311" t="str">
            <v>G80300</v>
          </cell>
          <cell r="B311" t="str">
            <v>Bi Rod 10C-11500V2</v>
          </cell>
        </row>
        <row r="312">
          <cell r="A312" t="str">
            <v>G80301</v>
          </cell>
          <cell r="B312" t="str">
            <v>Bi Rod 10C-11500V2＋専用三脚セット</v>
          </cell>
        </row>
        <row r="313">
          <cell r="A313" t="str">
            <v>G80302</v>
          </cell>
          <cell r="B313" t="str">
            <v>Bi Rod 6C-7500V2</v>
          </cell>
        </row>
        <row r="314">
          <cell r="A314" t="str">
            <v>G80303</v>
          </cell>
          <cell r="B314" t="str">
            <v>Bi Rod 6C-7500V2＋専用三脚セット</v>
          </cell>
        </row>
        <row r="315">
          <cell r="A315" t="str">
            <v>G80304</v>
          </cell>
          <cell r="B315" t="str">
            <v>Bi Rod 6C-7500V2＋専用伸縮三脚セット</v>
          </cell>
        </row>
        <row r="316">
          <cell r="A316" t="str">
            <v>G80305</v>
          </cell>
          <cell r="B316" t="str">
            <v>Bi Rod 6G-7500V2</v>
          </cell>
        </row>
        <row r="317">
          <cell r="A317" t="str">
            <v>G80306</v>
          </cell>
          <cell r="B317" t="str">
            <v>Bi Rod 6G-7500V2＋専用三脚セット</v>
          </cell>
        </row>
        <row r="318">
          <cell r="A318" t="str">
            <v>G80307</v>
          </cell>
          <cell r="B318" t="str">
            <v>Bi Rod 6C-4500V2</v>
          </cell>
        </row>
        <row r="319">
          <cell r="A319" t="str">
            <v>G80308</v>
          </cell>
          <cell r="B319" t="str">
            <v>Bi Rod 6C-4500V2＋専用三脚セット</v>
          </cell>
        </row>
        <row r="320">
          <cell r="A320" t="str">
            <v>G80309</v>
          </cell>
          <cell r="B320" t="str">
            <v>Bi Rod 6G-4500V2</v>
          </cell>
        </row>
        <row r="321">
          <cell r="A321" t="str">
            <v>G80310</v>
          </cell>
          <cell r="B321" t="str">
            <v>Bi Rod 6G-4500V2＋専用三脚セット</v>
          </cell>
        </row>
        <row r="322">
          <cell r="A322" t="str">
            <v>G80311</v>
          </cell>
          <cell r="B322" t="str">
            <v>Bi Rod 6G-2000V2＋専用三脚セット</v>
          </cell>
        </row>
        <row r="323">
          <cell r="A323" t="str">
            <v>G80400</v>
          </cell>
          <cell r="B323" t="str">
            <v>Bi RodクランプレバーV2</v>
          </cell>
        </row>
        <row r="324">
          <cell r="A324" t="str">
            <v>G80401</v>
          </cell>
          <cell r="B324" t="str">
            <v>新Bi Rod 11.5mセット用ハードケース</v>
          </cell>
        </row>
        <row r="325">
          <cell r="A325" t="str">
            <v>G80403</v>
          </cell>
          <cell r="B325" t="str">
            <v>Bi Wireless Line 33m 【特注】</v>
          </cell>
        </row>
        <row r="326">
          <cell r="A326" t="str">
            <v>G80404</v>
          </cell>
          <cell r="B326" t="str">
            <v>Bi Wireless Line 53m 【特注】</v>
          </cell>
        </row>
        <row r="327">
          <cell r="A327" t="str">
            <v>G80405</v>
          </cell>
          <cell r="B327" t="str">
            <v>Bi Wireless Line 24m 【特注】</v>
          </cell>
        </row>
        <row r="328">
          <cell r="A328" t="str">
            <v>G80406</v>
          </cell>
          <cell r="B328" t="str">
            <v>Bi Wireless Line 35m 【特注】</v>
          </cell>
        </row>
        <row r="329">
          <cell r="A329" t="str">
            <v>G80407</v>
          </cell>
          <cell r="B329" t="str">
            <v>Bi Wireless Line 55m 【特注】</v>
          </cell>
        </row>
        <row r="330">
          <cell r="A330" t="str">
            <v>G80600</v>
          </cell>
          <cell r="B330" t="str">
            <v>エバー商会様ペガサスロッド6G7500</v>
          </cell>
        </row>
        <row r="331">
          <cell r="A331" t="str">
            <v>G80093</v>
          </cell>
          <cell r="B331" t="str">
            <v>大閃光缶バッジ</v>
          </cell>
        </row>
        <row r="332">
          <cell r="A332" t="str">
            <v>G80101</v>
          </cell>
          <cell r="B332" t="str">
            <v>大閃光ライブバッグ</v>
          </cell>
        </row>
        <row r="333">
          <cell r="A333" t="str">
            <v>G80184</v>
          </cell>
          <cell r="B333" t="str">
            <v>ヲタ芸/サイリウムダンスレッスンDVD極</v>
          </cell>
        </row>
        <row r="334">
          <cell r="A334" t="str">
            <v>G80187</v>
          </cell>
          <cell r="B334" t="str">
            <v>大閃光ピンク マフラータオル</v>
          </cell>
        </row>
        <row r="335">
          <cell r="A335" t="str">
            <v>G80188</v>
          </cell>
          <cell r="B335" t="str">
            <v>大閃光イエロー マフラータオル</v>
          </cell>
        </row>
        <row r="336">
          <cell r="A336" t="str">
            <v>G80190</v>
          </cell>
          <cell r="B336" t="str">
            <v>大閃光ホワイト マフラータオル</v>
          </cell>
        </row>
        <row r="337">
          <cell r="A337" t="str">
            <v>G80191</v>
          </cell>
          <cell r="B337" t="str">
            <v>大閃光バイオレット マフラータオル</v>
          </cell>
        </row>
        <row r="338">
          <cell r="A338" t="str">
            <v>G26558</v>
          </cell>
          <cell r="B338" t="str">
            <v>UOじゃない！大閃光だ！ﾀｵﾙ　ｵﾚﾝｼﾞ</v>
          </cell>
        </row>
        <row r="339">
          <cell r="A339" t="str">
            <v>G26559</v>
          </cell>
          <cell r="B339" t="str">
            <v>UOじゃない！大閃光だ！ﾀｵﾙ　紺</v>
          </cell>
        </row>
        <row r="340">
          <cell r="A340" t="str">
            <v>G26560</v>
          </cell>
          <cell r="B340" t="str">
            <v>UOじゃない！大閃光だ！ﾀｵﾙ　白</v>
          </cell>
        </row>
        <row r="341">
          <cell r="A341" t="str">
            <v>G85546</v>
          </cell>
          <cell r="B341" t="str">
            <v>非常用ローソク　12時間</v>
          </cell>
        </row>
        <row r="342">
          <cell r="A342"/>
          <cell r="B342"/>
        </row>
        <row r="343">
          <cell r="A343"/>
          <cell r="B343"/>
        </row>
        <row r="344">
          <cell r="A344"/>
          <cell r="B344"/>
        </row>
        <row r="345">
          <cell r="A345"/>
          <cell r="B345"/>
        </row>
        <row r="346">
          <cell r="A346"/>
          <cell r="B346"/>
        </row>
        <row r="347">
          <cell r="A347"/>
          <cell r="B347"/>
        </row>
        <row r="348">
          <cell r="A348"/>
          <cell r="B348"/>
        </row>
        <row r="349">
          <cell r="A349"/>
          <cell r="B349"/>
        </row>
        <row r="350">
          <cell r="A350"/>
          <cell r="B350"/>
        </row>
      </sheetData>
      <sheetData sheetId="9">
        <row r="2">
          <cell r="B2" t="str">
            <v>スポット商品</v>
          </cell>
        </row>
      </sheetData>
      <sheetData sheetId="10">
        <row r="1">
          <cell r="C1" t="str">
            <v xml:space="preserve"> </v>
          </cell>
        </row>
      </sheetData>
      <sheetData sheetId="11">
        <row r="1">
          <cell r="B1"/>
        </row>
        <row r="2">
          <cell r="B2" t="str">
            <v>海外-INV.</v>
          </cell>
        </row>
        <row r="3">
          <cell r="A3" t="str">
            <v>CODE</v>
          </cell>
          <cell r="B3" t="str">
            <v>製品名　</v>
          </cell>
        </row>
        <row r="4">
          <cell r="A4" t="str">
            <v>A95101</v>
          </cell>
          <cell r="B4" t="str">
            <v>Starlite　ＳＬ－１</v>
          </cell>
        </row>
        <row r="5">
          <cell r="A5" t="str">
            <v>A95201</v>
          </cell>
          <cell r="B5" t="str">
            <v>Starlite　ＳＬ－１＋２</v>
          </cell>
        </row>
        <row r="6">
          <cell r="A6" t="str">
            <v>A95301</v>
          </cell>
          <cell r="B6" t="str">
            <v>Starlite　ＳＬ－２</v>
          </cell>
        </row>
        <row r="7">
          <cell r="A7" t="str">
            <v>A95401</v>
          </cell>
          <cell r="B7" t="str">
            <v>Starlite　ＳＬ－３</v>
          </cell>
        </row>
        <row r="8">
          <cell r="A8" t="str">
            <v>A95501</v>
          </cell>
          <cell r="B8" t="str">
            <v>Starlite　ＳＬ－４</v>
          </cell>
        </row>
        <row r="9">
          <cell r="A9" t="str">
            <v>A95601</v>
          </cell>
          <cell r="B9" t="str">
            <v>Starlite　ＳＬ－５</v>
          </cell>
        </row>
        <row r="10">
          <cell r="A10" t="str">
            <v>A95701</v>
          </cell>
          <cell r="B10" t="str">
            <v>Starlite　ＳＬ－１１</v>
          </cell>
        </row>
        <row r="11">
          <cell r="A11" t="str">
            <v>A95801</v>
          </cell>
          <cell r="B11" t="str">
            <v>Starlite　ＳＬ－７５</v>
          </cell>
        </row>
        <row r="12">
          <cell r="A12" t="str">
            <v>A97001</v>
          </cell>
          <cell r="B12" t="str">
            <v>ＣＬＩＰ　ＬＩＧＨＴ　Ｓ</v>
          </cell>
        </row>
        <row r="13">
          <cell r="A13" t="str">
            <v>A97101</v>
          </cell>
          <cell r="B13" t="str">
            <v>ＣＬＩＰ　ＬＩＧＨＴ　Ｍ</v>
          </cell>
        </row>
        <row r="14">
          <cell r="A14" t="str">
            <v>A97201</v>
          </cell>
          <cell r="B14" t="str">
            <v>ＣＬＩＰ　ＬＩＧＨＴ　Ｌ</v>
          </cell>
        </row>
        <row r="15">
          <cell r="A15" t="str">
            <v>A97301</v>
          </cell>
          <cell r="B15" t="str">
            <v>ＣＬＩＰ　ＬＩＧＨＴ　ＸＬ</v>
          </cell>
        </row>
        <row r="16">
          <cell r="A16" t="str">
            <v>A98002</v>
          </cell>
          <cell r="B16" t="str">
            <v>Xtrada ﾒﾀﾙｼﾞｬｯｶｰ60g ｼﾙﾊﾞｰｾﾞﾌﾞﾗ</v>
          </cell>
        </row>
        <row r="17">
          <cell r="A17" t="str">
            <v>A98003</v>
          </cell>
          <cell r="B17" t="str">
            <v>Xtrada ﾒﾀﾙｼﾞｬｯｶｰ60g ﾋﾟﾝｸｾﾞﾌﾞﾗ</v>
          </cell>
        </row>
        <row r="18">
          <cell r="A18" t="str">
            <v>A98004</v>
          </cell>
          <cell r="B18" t="str">
            <v>Xtrada ﾒﾀﾙｼﾞｬｯｶｰ60g ﾊﾟｰﾌﾟﾙｾﾞﾌﾞﾗ</v>
          </cell>
        </row>
        <row r="19">
          <cell r="A19" t="str">
            <v>A98005</v>
          </cell>
          <cell r="B19" t="str">
            <v>Xtrada ﾒﾀﾙｼﾞｬｯｶｰ60g ｱｶｷﾝｾﾞﾌﾞﾗ</v>
          </cell>
        </row>
        <row r="20">
          <cell r="A20" t="str">
            <v>A98006</v>
          </cell>
          <cell r="B20" t="str">
            <v>Xtrada ﾒﾀﾙｼﾞｬｯｶｰ60g ﾁｬｰﾄｾﾞﾌﾞﾗ</v>
          </cell>
        </row>
        <row r="21">
          <cell r="A21" t="str">
            <v>A98007</v>
          </cell>
          <cell r="B21" t="str">
            <v>Xtrada ﾒﾀﾙｼﾞｬｯｶｰ60g ﾌﾙﾚｯﾄﾞ</v>
          </cell>
        </row>
        <row r="22">
          <cell r="A22" t="str">
            <v>A98008</v>
          </cell>
          <cell r="B22" t="str">
            <v>Xtrada ﾒﾀﾙｼﾞｬｯｶｰ60g ﾌﾙﾌﾞﾙｰ</v>
          </cell>
        </row>
        <row r="23">
          <cell r="A23" t="str">
            <v>A98009</v>
          </cell>
          <cell r="B23" t="str">
            <v>Xtrada ﾒﾀﾙｼﾞｬｯｶｰ60g ﾌﾙｸﾞﾛｰ</v>
          </cell>
        </row>
        <row r="24">
          <cell r="A24" t="str">
            <v>A98901</v>
          </cell>
          <cell r="B24" t="str">
            <v>SL-2 10PCS SET(シルバーバック様)</v>
          </cell>
        </row>
        <row r="25">
          <cell r="A25" t="str">
            <v>A98902</v>
          </cell>
          <cell r="B25" t="str">
            <v>SL-3 10PCS SET(シルバーバック様)</v>
          </cell>
        </row>
        <row r="26">
          <cell r="A26" t="str">
            <v>A98903</v>
          </cell>
          <cell r="B26" t="str">
            <v>SL-4 10PCS SET(シルバーバック様)</v>
          </cell>
        </row>
        <row r="27">
          <cell r="A27" t="str">
            <v>F00101</v>
          </cell>
          <cell r="B27" t="str">
            <v>6"Light Stick B 8hrs</v>
          </cell>
        </row>
        <row r="28">
          <cell r="A28" t="str">
            <v>F00102</v>
          </cell>
          <cell r="B28" t="str">
            <v>6"Light Stick G 12hrs</v>
          </cell>
        </row>
        <row r="29">
          <cell r="A29" t="str">
            <v>F00104</v>
          </cell>
          <cell r="B29" t="str">
            <v>6"Light Stick R 12hrs</v>
          </cell>
        </row>
        <row r="30">
          <cell r="A30" t="str">
            <v>F00105</v>
          </cell>
          <cell r="B30" t="str">
            <v>6"Light Stick W 8hrs</v>
          </cell>
        </row>
        <row r="31">
          <cell r="A31" t="str">
            <v>F00106</v>
          </cell>
          <cell r="B31" t="str">
            <v>6"Light Stick Y 12hrs</v>
          </cell>
        </row>
        <row r="32">
          <cell r="A32" t="str">
            <v>F00114</v>
          </cell>
          <cell r="B32" t="str">
            <v>6"Light Stick infra Red(8Hours)</v>
          </cell>
        </row>
        <row r="33">
          <cell r="A33" t="str">
            <v>F00301</v>
          </cell>
          <cell r="B33" t="str">
            <v>ＳＭＡＲＴ　７”　ＧＲＥＥＮ</v>
          </cell>
        </row>
        <row r="34">
          <cell r="A34" t="str">
            <v>F00302</v>
          </cell>
          <cell r="B34" t="str">
            <v>ＳＭＡＲＴ　７”　ＢＬＵＥ</v>
          </cell>
        </row>
        <row r="35">
          <cell r="A35" t="str">
            <v>F00303</v>
          </cell>
          <cell r="B35" t="str">
            <v>ＳＭＡＲＴ　７”　ＰＩＮＫ</v>
          </cell>
        </row>
        <row r="36">
          <cell r="A36" t="str">
            <v>F00304</v>
          </cell>
          <cell r="B36" t="str">
            <v>ＳＭＡＲＴ　７”　ＯＲＡＮＧＥ</v>
          </cell>
        </row>
        <row r="37">
          <cell r="A37" t="str">
            <v>F00305</v>
          </cell>
          <cell r="B37" t="str">
            <v>ＳＭＡＲＴ　７”　ＹＥＬＬＯＷ</v>
          </cell>
        </row>
        <row r="38">
          <cell r="A38" t="str">
            <v>F00306</v>
          </cell>
          <cell r="B38" t="str">
            <v>ＳＭＡＲＴ　７”　ＲＥＤ</v>
          </cell>
        </row>
        <row r="39">
          <cell r="A39" t="str">
            <v>F00307</v>
          </cell>
          <cell r="B39" t="str">
            <v>ＳＭＡＲＴ　７”　ＷＨＩＴＥ</v>
          </cell>
        </row>
        <row r="40">
          <cell r="A40" t="str">
            <v>F00308</v>
          </cell>
          <cell r="B40" t="str">
            <v>ＳＭＡＲＴ　７”　ＰＵＲＰＬＥ</v>
          </cell>
        </row>
        <row r="41">
          <cell r="A41" t="str">
            <v>F30301</v>
          </cell>
          <cell r="B41" t="str">
            <v>ＣＴ　ＴｙｐｅＡ　アンプル　Green</v>
          </cell>
        </row>
        <row r="42">
          <cell r="A42" t="str">
            <v>F30302</v>
          </cell>
          <cell r="B42" t="str">
            <v>ＣＴ　ＴｙｐｅＣ　アンプル　Green</v>
          </cell>
        </row>
        <row r="43">
          <cell r="A43" t="str">
            <v>F30303</v>
          </cell>
          <cell r="B43" t="str">
            <v>ＣＴ　ＴｙｐｅＣ　アンプル　Yellow</v>
          </cell>
        </row>
        <row r="44">
          <cell r="A44" t="str">
            <v>F30304</v>
          </cell>
          <cell r="B44" t="str">
            <v>ＣＴ　ＴｙｐｅＤ　アンプル　Yellow</v>
          </cell>
        </row>
        <row r="45">
          <cell r="A45" t="str">
            <v>F30305</v>
          </cell>
          <cell r="B45" t="str">
            <v>ＣＴ　ＴｙｐｅＡ　アンプル　Blue</v>
          </cell>
        </row>
        <row r="46">
          <cell r="A46" t="str">
            <v>F30306</v>
          </cell>
          <cell r="B46" t="str">
            <v>ＣＴ　ＴｙｐｅＡ　アンプル　Yellow</v>
          </cell>
        </row>
        <row r="47">
          <cell r="A47" t="str">
            <v>F30307</v>
          </cell>
          <cell r="B47" t="str">
            <v>ＣＴ２　ＴｙｐｅＡ　アンプル　Green</v>
          </cell>
        </row>
        <row r="48">
          <cell r="A48" t="str">
            <v>F30308</v>
          </cell>
          <cell r="B48" t="str">
            <v>ＣＴ２　ＴｙｐｅＡ　アンプル　Blue</v>
          </cell>
        </row>
        <row r="49">
          <cell r="A49" t="str">
            <v>F30309</v>
          </cell>
          <cell r="B49" t="str">
            <v>ＣＴ２　ＴｙｐｅＡ　アンプル　Yellow</v>
          </cell>
        </row>
        <row r="50">
          <cell r="A50" t="str">
            <v>F30310</v>
          </cell>
          <cell r="B50" t="str">
            <v>ＣＴ２　ＴｙｐｅＣ　アンプル　Green</v>
          </cell>
        </row>
        <row r="51">
          <cell r="A51" t="str">
            <v>F30311</v>
          </cell>
          <cell r="B51" t="str">
            <v>ＣＴ２　ＴｙｐｅＣ　アンプル　Blue</v>
          </cell>
        </row>
        <row r="52">
          <cell r="A52" t="str">
            <v>F30312</v>
          </cell>
          <cell r="B52" t="str">
            <v>ＣＴ２　ＴｙｐｅＣ　アンプル　Red</v>
          </cell>
        </row>
        <row r="53">
          <cell r="A53" t="str">
            <v>F30313</v>
          </cell>
          <cell r="B53" t="str">
            <v>ＣＴ２　ＴｙｐｅＤ　アンプル　Yellow</v>
          </cell>
        </row>
        <row r="54">
          <cell r="A54" t="str">
            <v>F30314</v>
          </cell>
          <cell r="B54" t="str">
            <v>ＣＴ２　ＴｙｐｅＣ　アンプル　Yellow</v>
          </cell>
        </row>
        <row r="55">
          <cell r="A55" t="str">
            <v>F30315</v>
          </cell>
          <cell r="B55" t="str">
            <v>ＣＴ２　ＴｙｐｅＡ　アンプル　Pink</v>
          </cell>
        </row>
        <row r="56">
          <cell r="A56" t="str">
            <v>F30316</v>
          </cell>
          <cell r="B56" t="str">
            <v>ＣＴ２　ＴｙｐｅＣ　アンプル　ＩＲ</v>
          </cell>
        </row>
        <row r="57">
          <cell r="A57" t="str">
            <v>F30325</v>
          </cell>
          <cell r="B57" t="str">
            <v>ＣＴ２　ＴｙｐｅＣ　アンプル　Ｗｈｉｔｅ</v>
          </cell>
        </row>
        <row r="58">
          <cell r="A58" t="str">
            <v>F30401</v>
          </cell>
          <cell r="B58" t="str">
            <v>ＣＴ　ＴｙｐｅＡ　スティック　Green</v>
          </cell>
        </row>
        <row r="59">
          <cell r="A59" t="str">
            <v>F30402</v>
          </cell>
          <cell r="B59" t="str">
            <v>ＣＴ　ＴｙｐｅＡ　スティック　Blue</v>
          </cell>
        </row>
        <row r="60">
          <cell r="A60" t="str">
            <v>F30403</v>
          </cell>
          <cell r="B60" t="str">
            <v>ＣＴ　ＴｙｐｅＡ　スティック　Pink</v>
          </cell>
        </row>
        <row r="61">
          <cell r="A61" t="str">
            <v>F30404</v>
          </cell>
          <cell r="B61" t="str">
            <v>ＣＴ　ＴｙｐｅＡ　スティック　Yellow</v>
          </cell>
        </row>
        <row r="62">
          <cell r="A62" t="str">
            <v>F30405</v>
          </cell>
          <cell r="B62" t="str">
            <v>ＣＴ　ＴｙｐｅＡ　スティック　Red</v>
          </cell>
        </row>
        <row r="63">
          <cell r="A63" t="str">
            <v>F80601</v>
          </cell>
          <cell r="B63" t="str">
            <v>CLO2 POWER 6inch</v>
          </cell>
        </row>
        <row r="64">
          <cell r="A64" t="str">
            <v>G09226</v>
          </cell>
          <cell r="B64" t="str">
            <v>セカンドベイト 生オキアミ</v>
          </cell>
        </row>
        <row r="65">
          <cell r="A65" t="str">
            <v>G09227</v>
          </cell>
          <cell r="B65" t="str">
            <v>セカンドベイト 生ゲソ</v>
          </cell>
        </row>
        <row r="66">
          <cell r="A66" t="str">
            <v>G09228</v>
          </cell>
          <cell r="B66" t="str">
            <v>セカンドベイト 生イソメ</v>
          </cell>
        </row>
      </sheetData>
      <sheetData sheetId="12">
        <row r="1">
          <cell r="C1" t="str">
            <v xml:space="preserve"> </v>
          </cell>
        </row>
      </sheetData>
      <sheetData sheetId="13">
        <row r="1">
          <cell r="C1" t="str">
            <v xml:space="preserve"> </v>
          </cell>
        </row>
      </sheetData>
      <sheetData sheetId="14">
        <row r="4">
          <cell r="D4">
            <v>340</v>
          </cell>
        </row>
      </sheetData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cro"/>
      <sheetName val="ブライダル"/>
      <sheetName val="釣具"/>
      <sheetName val="NV"/>
      <sheetName val="ﾌｰﾄﾞｽﾌﾟﾚｰ"/>
    </sheetNames>
    <sheetDataSet>
      <sheetData sheetId="0"/>
      <sheetData sheetId="1">
        <row r="80">
          <cell r="K80">
            <v>6322305</v>
          </cell>
        </row>
      </sheetData>
      <sheetData sheetId="2">
        <row r="50">
          <cell r="K50">
            <v>137629</v>
          </cell>
        </row>
      </sheetData>
      <sheetData sheetId="3">
        <row r="1">
          <cell r="C1"/>
        </row>
        <row r="2">
          <cell r="C2"/>
        </row>
        <row r="3">
          <cell r="C3"/>
          <cell r="D3"/>
        </row>
        <row r="4">
          <cell r="C4" t="str">
            <v>CODE</v>
          </cell>
          <cell r="D4" t="str">
            <v>資材名</v>
          </cell>
        </row>
        <row r="5">
          <cell r="C5" t="str">
            <v>V08149</v>
          </cell>
          <cell r="D5" t="str">
            <v>ﾍﾟﾝﾀｼｱﾉﾆﾄﾛｼﾙ鉄(Ⅲ)酸ﾅﾄﾘｳﾑ液(茶）</v>
          </cell>
        </row>
        <row r="6">
          <cell r="C6" t="str">
            <v>V08150</v>
          </cell>
          <cell r="D6" t="str">
            <v>ｱｾﾄｱﾙﾃﾞﾋﾄﾞ･ｴﾀﾉｰﾙ混合液(白)</v>
          </cell>
        </row>
        <row r="7">
          <cell r="C7" t="str">
            <v>V05503</v>
          </cell>
          <cell r="D7" t="str">
            <v>【半製品】Xチェッカーアンプル（茶）</v>
          </cell>
        </row>
        <row r="8">
          <cell r="C8" t="str">
            <v>V05504</v>
          </cell>
          <cell r="D8" t="str">
            <v>【半製品】Xチェッカーアンプル（白）</v>
          </cell>
        </row>
        <row r="9">
          <cell r="C9" t="str">
            <v>V05610</v>
          </cell>
          <cell r="D9" t="str">
            <v>【半製品】Xチェッカースティック</v>
          </cell>
        </row>
        <row r="10">
          <cell r="C10" t="str">
            <v>V05611</v>
          </cell>
          <cell r="D10" t="str">
            <v>【半製品】Mチェッカースティック</v>
          </cell>
        </row>
        <row r="11">
          <cell r="C11" t="str">
            <v>V05612</v>
          </cell>
          <cell r="D11" t="str">
            <v>【半製品】iチェッカースティック</v>
          </cell>
        </row>
        <row r="12">
          <cell r="C12" t="str">
            <v>V05613</v>
          </cell>
          <cell r="D12" t="str">
            <v>【半製品】ｺｶｲﾝﾁｪｯｶｰｽﾃｨｯｸ</v>
          </cell>
        </row>
        <row r="13">
          <cell r="C13" t="str">
            <v>V07674</v>
          </cell>
          <cell r="D13" t="str">
            <v>【半製品】大麻チェッカー スティックB</v>
          </cell>
        </row>
        <row r="14">
          <cell r="C14" t="str">
            <v>V06177</v>
          </cell>
          <cell r="D14" t="str">
            <v>製袋　MiXチェッカー</v>
          </cell>
        </row>
        <row r="15">
          <cell r="C15" t="str">
            <v>V06179</v>
          </cell>
          <cell r="D15" t="str">
            <v>大麻チェッカー用アルミ製袋</v>
          </cell>
        </row>
        <row r="16">
          <cell r="C16" t="str">
            <v>V06210</v>
          </cell>
          <cell r="D16" t="str">
            <v>製袋　MXﾁｪｯｶｰ</v>
          </cell>
        </row>
        <row r="17">
          <cell r="C17" t="str">
            <v>V06216</v>
          </cell>
          <cell r="D17" t="str">
            <v>製袋　Xﾁｪｯｶｰ</v>
          </cell>
        </row>
        <row r="18">
          <cell r="C18" t="str">
            <v>V07143</v>
          </cell>
          <cell r="D18" t="str">
            <v>ｺｶｲﾝﾁｪｯｶｰ説明書</v>
          </cell>
        </row>
        <row r="19">
          <cell r="C19" t="str">
            <v>V07144</v>
          </cell>
          <cell r="D19" t="str">
            <v>Xﾁｪｯｶｰ・ｺｶｲﾝﾁｪｯｶｰ用耳かき</v>
          </cell>
        </row>
        <row r="20">
          <cell r="C20" t="str">
            <v>V07148</v>
          </cell>
          <cell r="D20" t="str">
            <v>MXﾁｪｯｶｰ説明書</v>
          </cell>
        </row>
        <row r="21">
          <cell r="C21" t="str">
            <v>V07170</v>
          </cell>
          <cell r="D21" t="str">
            <v>ﾎﾟﾘ栓 PC-8(Xﾁｪｯｶｰ用)</v>
          </cell>
        </row>
        <row r="22">
          <cell r="C22" t="str">
            <v>V07242</v>
          </cell>
          <cell r="D22" t="str">
            <v>MiXチェッカー説明書</v>
          </cell>
        </row>
        <row r="23">
          <cell r="C23" t="str">
            <v>V06432</v>
          </cell>
          <cell r="D23" t="str">
            <v>小箱 Xﾁｪｯｶｰ</v>
          </cell>
        </row>
        <row r="24">
          <cell r="C24" t="str">
            <v>V06756</v>
          </cell>
          <cell r="D24" t="str">
            <v>大麻チェッカー用ブリスターベース</v>
          </cell>
        </row>
        <row r="25">
          <cell r="C25" t="str">
            <v>V06757</v>
          </cell>
          <cell r="D25" t="str">
            <v>大麻チェッカー用ブリスターボックス</v>
          </cell>
        </row>
        <row r="26">
          <cell r="C26" t="str">
            <v>V07666</v>
          </cell>
          <cell r="D26" t="str">
            <v>大麻チェッカー用６インチチューブ</v>
          </cell>
        </row>
        <row r="27">
          <cell r="C27" t="str">
            <v>V07667</v>
          </cell>
          <cell r="D27" t="str">
            <v>大麻チェッカー用フィルタキャップ</v>
          </cell>
        </row>
        <row r="28">
          <cell r="C28" t="str">
            <v>V07668</v>
          </cell>
          <cell r="D28" t="str">
            <v>大麻用PPチューブ（Φ7.5×150mm）</v>
          </cell>
        </row>
        <row r="29">
          <cell r="C29" t="str">
            <v>V07669</v>
          </cell>
          <cell r="D29" t="str">
            <v>大麻チェッカー用ピンセット</v>
          </cell>
        </row>
        <row r="30">
          <cell r="C30" t="str">
            <v>V07671</v>
          </cell>
          <cell r="D30" t="str">
            <v>大麻チェッカー用取扱説明書</v>
          </cell>
        </row>
        <row r="31">
          <cell r="C31" t="str">
            <v>V07062</v>
          </cell>
          <cell r="D31" t="str">
            <v>ﾕﾆｴﾎﾟ補修用ﾌﾟﾗｲﾏｰ500g(1缶500g=417ml)</v>
          </cell>
        </row>
        <row r="32">
          <cell r="C32" t="str">
            <v>V05832</v>
          </cell>
          <cell r="D32" t="str">
            <v>【仕掛品】ペイント噴射口ユニット</v>
          </cell>
        </row>
        <row r="33">
          <cell r="C33" t="str">
            <v>V06975</v>
          </cell>
          <cell r="D33" t="str">
            <v>ペイント部材：噴射口</v>
          </cell>
        </row>
        <row r="34">
          <cell r="C34" t="str">
            <v>V06976</v>
          </cell>
          <cell r="D34" t="str">
            <v>ペイント部材：液抽出パイプ</v>
          </cell>
        </row>
        <row r="35">
          <cell r="C35" t="str">
            <v>V06977</v>
          </cell>
          <cell r="D35" t="str">
            <v>ペイント部材：混合部</v>
          </cell>
        </row>
        <row r="36">
          <cell r="C36" t="str">
            <v>V06978</v>
          </cell>
          <cell r="D36" t="str">
            <v>ペイント部材：ストッパー</v>
          </cell>
        </row>
        <row r="37">
          <cell r="C37" t="str">
            <v>V06979</v>
          </cell>
          <cell r="D37" t="str">
            <v>ペイント部材：トリガー</v>
          </cell>
        </row>
        <row r="38">
          <cell r="C38" t="str">
            <v>V06980</v>
          </cell>
          <cell r="D38" t="str">
            <v>ペイント部材：グリップ</v>
          </cell>
        </row>
        <row r="39">
          <cell r="C39" t="str">
            <v>V06981</v>
          </cell>
          <cell r="D39" t="str">
            <v>ペイント部材：カバー</v>
          </cell>
        </row>
        <row r="40">
          <cell r="C40" t="str">
            <v>V06982</v>
          </cell>
          <cell r="D40" t="str">
            <v>ペイント部材：ベース</v>
          </cell>
        </row>
        <row r="41">
          <cell r="C41" t="str">
            <v>V07544</v>
          </cell>
          <cell r="D41" t="str">
            <v>プリチャージ缶（ｻｲﾘｭｰﾑﾍﾟｲﾝﾄ用）</v>
          </cell>
        </row>
        <row r="42">
          <cell r="C42" t="str">
            <v>V05833</v>
          </cell>
          <cell r="D42" t="str">
            <v>【仕掛品】デュアルスプレー缶ボディユニット</v>
          </cell>
        </row>
        <row r="43">
          <cell r="C43" t="str">
            <v>V05680</v>
          </cell>
          <cell r="D43" t="str">
            <v>業務用二酸化塩素香 POWER 2inch袋なし</v>
          </cell>
        </row>
        <row r="44">
          <cell r="C44" t="str">
            <v>V05681</v>
          </cell>
          <cell r="D44" t="str">
            <v>二酸化塩素香 POWER 2inch 高濃度</v>
          </cell>
        </row>
        <row r="45">
          <cell r="C45" t="str">
            <v>V05682</v>
          </cell>
          <cell r="D45" t="str">
            <v>二酸化塩素香ﾊﾟﾜｰ4ｲﾝﾁ(ｼﾘｺﾝｷｬﾌﾟ)</v>
          </cell>
        </row>
        <row r="46">
          <cell r="C46" t="str">
            <v>V05684</v>
          </cell>
          <cell r="D46" t="str">
            <v>【半製品】CLO2 4ｲﾝﾁ(燻蒸・即効)ｽﾃｨｯｸ</v>
          </cell>
        </row>
        <row r="47">
          <cell r="C47" t="str">
            <v>V06176</v>
          </cell>
          <cell r="D47" t="str">
            <v>二酸化塩素香POWER MIST-50ﾁｬｯｸ付ｱﾙﾐ袋</v>
          </cell>
        </row>
        <row r="48">
          <cell r="C48" t="str">
            <v>V06178</v>
          </cell>
          <cell r="D48" t="str">
            <v>ClO2 POWER MIST-100用アルミ袋</v>
          </cell>
        </row>
        <row r="49">
          <cell r="C49" t="str">
            <v>V07451</v>
          </cell>
          <cell r="D49" t="str">
            <v>ﾃﾞｭｱﾙｽﾌﾟﾚｰ缶:ｱｸﾁｭｴｰﾀﾉｽﾞﾙ</v>
          </cell>
        </row>
        <row r="50">
          <cell r="C50" t="str">
            <v>V07452</v>
          </cell>
          <cell r="D50" t="str">
            <v>ﾃﾞｭｱﾙｽﾌﾟﾚｰ缶:ｱｸﾁｭｴｰﾀA</v>
          </cell>
        </row>
        <row r="51">
          <cell r="C51" t="str">
            <v>V07453</v>
          </cell>
          <cell r="D51" t="str">
            <v>ﾃﾞｭｱﾙｽﾌﾟﾚｰ缶:ｱｸﾁｭｴｰﾀB</v>
          </cell>
        </row>
        <row r="52">
          <cell r="C52" t="str">
            <v>V07454</v>
          </cell>
          <cell r="D52" t="str">
            <v>デュアルスプレー缶：スプレーボティA</v>
          </cell>
        </row>
        <row r="53">
          <cell r="C53" t="str">
            <v>V07455</v>
          </cell>
          <cell r="D53" t="str">
            <v>デュアルスプレー缶：スプレーボティB</v>
          </cell>
        </row>
        <row r="54">
          <cell r="C54" t="str">
            <v>V07456</v>
          </cell>
          <cell r="D54" t="str">
            <v>デュアルスプレー缶：スプレーキャップ</v>
          </cell>
        </row>
        <row r="55">
          <cell r="C55" t="str">
            <v>V07470</v>
          </cell>
          <cell r="D55" t="str">
            <v>プリチャージ缶（二酸化塩素香用）</v>
          </cell>
        </row>
        <row r="56">
          <cell r="C56" t="str">
            <v>V07471</v>
          </cell>
          <cell r="D56" t="str">
            <v>パワースプレーW ラベルシール</v>
          </cell>
        </row>
        <row r="57">
          <cell r="C57" t="str">
            <v>V07472</v>
          </cell>
          <cell r="D57" t="str">
            <v>パワースプレーW シュリンクフィルム</v>
          </cell>
        </row>
        <row r="58">
          <cell r="C58" t="str">
            <v>V07479</v>
          </cell>
          <cell r="D58" t="str">
            <v>純粋二酸化塩素水 POWER MIST-50 ﾎﾞﾄﾙ</v>
          </cell>
        </row>
        <row r="59">
          <cell r="C59" t="str">
            <v>V07490</v>
          </cell>
          <cell r="D59" t="str">
            <v>純粋二酸化塩素水 POWER MIST ﾎﾞﾄﾙ100ml</v>
          </cell>
        </row>
        <row r="60">
          <cell r="C60" t="str">
            <v>V07549</v>
          </cell>
          <cell r="D60" t="str">
            <v>ﾋﾟｭｱｿﾘｭｰｼｮﾝ100用瓶ｷｬｯﾌﾟｾｯﾄ</v>
          </cell>
        </row>
        <row r="61">
          <cell r="C61" t="str">
            <v>V07560</v>
          </cell>
          <cell r="D61" t="str">
            <v>POWER MIST 100ml用ｷｬｯﾌﾟ</v>
          </cell>
        </row>
        <row r="62">
          <cell r="C62" t="str">
            <v>V07571</v>
          </cell>
          <cell r="D62" t="str">
            <v>V04チューブ</v>
          </cell>
        </row>
        <row r="63">
          <cell r="C63" t="str">
            <v>V07572</v>
          </cell>
          <cell r="D63" t="str">
            <v>V04エクセポールキャップ</v>
          </cell>
        </row>
        <row r="64">
          <cell r="C64" t="str">
            <v>V07534</v>
          </cell>
          <cell r="D64" t="str">
            <v>パワーウォーター100用アルミ袋AL-14</v>
          </cell>
        </row>
        <row r="65">
          <cell r="C65" t="str">
            <v>V07432</v>
          </cell>
          <cell r="D65" t="str">
            <v>PEﾁｭｰﾌﾞ φ7.5x55(底封)</v>
          </cell>
        </row>
        <row r="66">
          <cell r="C66" t="str">
            <v>V07589</v>
          </cell>
          <cell r="D66" t="str">
            <v>チューブK50</v>
          </cell>
        </row>
        <row r="67">
          <cell r="C67" t="str">
            <v>V07590</v>
          </cell>
          <cell r="D67" t="str">
            <v>アンプルK50</v>
          </cell>
        </row>
        <row r="68">
          <cell r="C68" t="str">
            <v>V07591</v>
          </cell>
          <cell r="D68" t="str">
            <v>フェルト　アロマスティックK50</v>
          </cell>
        </row>
        <row r="69">
          <cell r="C69" t="str">
            <v>V07567</v>
          </cell>
          <cell r="D69" t="str">
            <v>ＤＵＡＬ缶</v>
          </cell>
        </row>
        <row r="70">
          <cell r="C70" t="str">
            <v>V07642</v>
          </cell>
          <cell r="D70" t="str">
            <v>ITO様向け消臭職人用ラベル</v>
          </cell>
        </row>
        <row r="71">
          <cell r="C71" t="str">
            <v>V06747</v>
          </cell>
          <cell r="D71" t="str">
            <v>台紙 虫よけスティック二つ折り</v>
          </cell>
        </row>
        <row r="72">
          <cell r="C72" t="str">
            <v>V07525</v>
          </cell>
          <cell r="D72" t="str">
            <v>ﾚﾓﾝｸﾞﾗｽ精油(ｸﾞﾗﾑ単位)</v>
          </cell>
        </row>
        <row r="73">
          <cell r="C73" t="str">
            <v>V07565</v>
          </cell>
          <cell r="D73" t="str">
            <v>シトロネラオイル(1kg＝1111ml)</v>
          </cell>
        </row>
        <row r="74">
          <cell r="C74" t="str">
            <v>V07568</v>
          </cell>
          <cell r="D74" t="str">
            <v>ファイバーロッド ＳＬ芯　φ7×10mmL</v>
          </cell>
        </row>
        <row r="75">
          <cell r="C75" t="str">
            <v>V07569</v>
          </cell>
          <cell r="D75" t="str">
            <v>チューブφ7.5×70mmL(底封済)</v>
          </cell>
        </row>
        <row r="76">
          <cell r="C76" t="str">
            <v>V07570</v>
          </cell>
          <cell r="D76" t="str">
            <v>アンプルφ5.1×100mmL(底封済)</v>
          </cell>
        </row>
        <row r="77">
          <cell r="C77" t="str">
            <v>V05505</v>
          </cell>
          <cell r="D77" t="str">
            <v>空ｱﾝﾌﾟﾙ ｶﾀｶﾑﾅ・ﾋﾔﾘﾊｯﾄ2.55x90mm底封済</v>
          </cell>
        </row>
        <row r="78">
          <cell r="C78" t="str">
            <v>V07637</v>
          </cell>
          <cell r="D78" t="str">
            <v>Φ6×30ｍｍフェルト</v>
          </cell>
        </row>
        <row r="79">
          <cell r="C79" t="str">
            <v>V07528</v>
          </cell>
          <cell r="D79" t="str">
            <v>マスク用バーム　グレープフルーツ</v>
          </cell>
        </row>
        <row r="80">
          <cell r="C80" t="str">
            <v>V07529</v>
          </cell>
          <cell r="D80" t="str">
            <v>マスク用バーム　ライム</v>
          </cell>
        </row>
        <row r="81">
          <cell r="C81" t="str">
            <v>V07530</v>
          </cell>
          <cell r="D81" t="str">
            <v>マスク用バーム　ペパーミント</v>
          </cell>
        </row>
        <row r="82">
          <cell r="C82" t="str">
            <v>V07531</v>
          </cell>
          <cell r="D82" t="str">
            <v>gensui ラベル表（3種）</v>
          </cell>
        </row>
        <row r="83">
          <cell r="C83" t="str">
            <v>V07532</v>
          </cell>
          <cell r="D83" t="str">
            <v>gensui ラベル底（3種）</v>
          </cell>
        </row>
        <row r="84">
          <cell r="C84" t="str">
            <v>V07533</v>
          </cell>
          <cell r="D84" t="str">
            <v>gensui ヘッダー（3種）</v>
          </cell>
        </row>
        <row r="85">
          <cell r="C85" t="str">
            <v>V05502</v>
          </cell>
          <cell r="D85" t="str">
            <v>アンプル本体（イージーアンプル）</v>
          </cell>
        </row>
        <row r="86">
          <cell r="C86" t="str">
            <v>V06495</v>
          </cell>
          <cell r="D86" t="str">
            <v>アンプル用紙缶</v>
          </cell>
        </row>
        <row r="87">
          <cell r="C87" t="str">
            <v>V07206</v>
          </cell>
          <cell r="D87" t="str">
            <v>イージーアンプラー本体</v>
          </cell>
        </row>
        <row r="88">
          <cell r="C88" t="str">
            <v>V07207</v>
          </cell>
          <cell r="D88" t="str">
            <v>ポケトーチ</v>
          </cell>
        </row>
        <row r="89">
          <cell r="C89" t="str">
            <v>V07208</v>
          </cell>
          <cell r="D89" t="str">
            <v>遠心分離機用ホルダー</v>
          </cell>
        </row>
        <row r="90">
          <cell r="C90" t="str">
            <v>V07209</v>
          </cell>
          <cell r="D90" t="str">
            <v>ダストボックス</v>
          </cell>
        </row>
        <row r="91">
          <cell r="C91" t="str">
            <v>V07211</v>
          </cell>
          <cell r="D91" t="str">
            <v>ガラスカッター</v>
          </cell>
        </row>
        <row r="92">
          <cell r="C92" t="str">
            <v>V07212</v>
          </cell>
          <cell r="D92" t="str">
            <v>イージーアンプラーシステム箱ﾊﾟｯｹｰｼﾞ</v>
          </cell>
        </row>
        <row r="93">
          <cell r="C93" t="str">
            <v>V06906</v>
          </cell>
          <cell r="D93" t="str">
            <v>LUMI ACE２ SP GRIP （NEW LED）</v>
          </cell>
        </row>
        <row r="94">
          <cell r="C94" t="str">
            <v>V10576</v>
          </cell>
          <cell r="D94" t="str">
            <v>ももｸﾛ ﾃﾗﾗｲﾄ用 ﾁｭｰﾌﾞ</v>
          </cell>
        </row>
        <row r="95">
          <cell r="C95" t="str">
            <v>V10577</v>
          </cell>
          <cell r="D95" t="str">
            <v>ももｸﾛ ﾃﾗﾗｲﾄ用 ｸﾞﾘｯﾌﾟ</v>
          </cell>
        </row>
        <row r="96">
          <cell r="C96" t="str">
            <v>V10578</v>
          </cell>
          <cell r="D96" t="str">
            <v>ももｸﾛ ﾃﾗﾗｲﾄ用 ﾌｨﾙﾑ</v>
          </cell>
        </row>
        <row r="97">
          <cell r="C97" t="str">
            <v>V07178</v>
          </cell>
          <cell r="D97" t="str">
            <v>保護棒(ﾅｲﾄﾗｲﾄ用）</v>
          </cell>
        </row>
        <row r="98">
          <cell r="C98" t="str">
            <v>V10324</v>
          </cell>
          <cell r="D98" t="str">
            <v>ﾐﾗｸﾙﾍﾟｲﾝﾄ用2MLﾁｭｰﾌﾞ</v>
          </cell>
        </row>
        <row r="99">
          <cell r="C99" t="str">
            <v>V05737</v>
          </cell>
          <cell r="D99" t="str">
            <v>ﾕﾀｶﾒｲｸOEM ﾗｯﾄﾊﾞﾘｱｽﾃｨｯｸ</v>
          </cell>
        </row>
        <row r="100">
          <cell r="C100" t="str">
            <v>V10505</v>
          </cell>
          <cell r="D100" t="str">
            <v>ﾕﾀｶﾒｲｸ ﾗｯﾄﾊﾞﾘｱｽﾃｨｯｸﾀｲﾌﾟ三角ｽﾀﾝﾄﾞ</v>
          </cell>
        </row>
        <row r="101">
          <cell r="C101" t="str">
            <v>V10512</v>
          </cell>
          <cell r="D101" t="str">
            <v>ﾕﾀｶﾒｲｸOEM ﾗｯﾄﾊﾞﾘｱ 業務用外箱</v>
          </cell>
        </row>
        <row r="102">
          <cell r="C102" t="str">
            <v>V05683</v>
          </cell>
          <cell r="D102" t="str">
            <v>発光体 6ｲﾝﾁﾚｷﾞｭﾗｰｱｰｸ高輝度ｲｴﾛｰ</v>
          </cell>
        </row>
        <row r="103">
          <cell r="C103" t="str">
            <v>V05740</v>
          </cell>
          <cell r="D103" t="str">
            <v>災害備蓄用ﾙﾐｶﾗｲﾄ24本入用ｽﾃｨｯｸ</v>
          </cell>
        </row>
        <row r="104">
          <cell r="C104" t="str">
            <v>V06749</v>
          </cell>
          <cell r="D104" t="str">
            <v>台紙 車載対応非常用ライト3本入</v>
          </cell>
        </row>
        <row r="105">
          <cell r="C105" t="str">
            <v>V06834</v>
          </cell>
          <cell r="D105" t="str">
            <v>PP袋 防災ﾊﾞﾘｭｰﾊﾟｯｸ用</v>
          </cell>
        </row>
        <row r="106">
          <cell r="C106" t="str">
            <v>V07566</v>
          </cell>
          <cell r="D106" t="str">
            <v>両面ﾃｰﾌﾟｾｯﾄ(車載対応非常用ﾗｲﾄ)</v>
          </cell>
        </row>
        <row r="107">
          <cell r="C107" t="str">
            <v>V07651</v>
          </cell>
          <cell r="D107" t="str">
            <v>大閃光Re.用インナースティック（極オレンジ）</v>
          </cell>
        </row>
        <row r="108">
          <cell r="C108" t="str">
            <v>V07652</v>
          </cell>
          <cell r="D108" t="str">
            <v>大閃光Re.用キャップ</v>
          </cell>
        </row>
        <row r="109">
          <cell r="C109" t="str">
            <v>V06750</v>
          </cell>
          <cell r="D109" t="str">
            <v>台紙 和気産業OEM 防災用ﾙﾐｶﾗｲﾄHY5本入</v>
          </cell>
        </row>
        <row r="110">
          <cell r="C110" t="str">
            <v>V06751</v>
          </cell>
          <cell r="D110" t="str">
            <v>台紙 和気産業OEM 防災用ﾙﾐｶﾗｲﾄW 3本入</v>
          </cell>
        </row>
        <row r="111">
          <cell r="C111" t="str">
            <v>V06752</v>
          </cell>
          <cell r="D111" t="str">
            <v>台紙 和気産業OEM ﾙﾐｶﾗｲﾄ1.5ｲﾝﾁR10本入</v>
          </cell>
        </row>
        <row r="112">
          <cell r="C112" t="str">
            <v>V06753</v>
          </cell>
          <cell r="D112" t="str">
            <v>台紙 和気産業OEM ﾙﾐｶﾗｲﾄ1.5ｲﾝﾁG10本入</v>
          </cell>
        </row>
        <row r="113">
          <cell r="C113" t="str">
            <v>V00146</v>
          </cell>
          <cell r="D113" t="str">
            <v>アタッチメントプラグ大</v>
          </cell>
        </row>
        <row r="114">
          <cell r="C114" t="str">
            <v>V00147</v>
          </cell>
          <cell r="D114" t="str">
            <v>アタッチメントプラグ小</v>
          </cell>
        </row>
        <row r="115">
          <cell r="C115" t="str">
            <v>V00148</v>
          </cell>
          <cell r="D115" t="str">
            <v>アタッチメントベース</v>
          </cell>
        </row>
        <row r="116">
          <cell r="C116" t="str">
            <v>V00149</v>
          </cell>
          <cell r="D116" t="str">
            <v>WL用両面テープS</v>
          </cell>
        </row>
        <row r="117">
          <cell r="C117" t="str">
            <v>V00150</v>
          </cell>
          <cell r="D117" t="str">
            <v>Oリング</v>
          </cell>
        </row>
        <row r="118">
          <cell r="C118" t="str">
            <v>V00151</v>
          </cell>
          <cell r="D118" t="str">
            <v>止めネジ</v>
          </cell>
        </row>
        <row r="119">
          <cell r="C119" t="str">
            <v>V00183</v>
          </cell>
          <cell r="D119" t="str">
            <v>超低頭ネジ</v>
          </cell>
        </row>
        <row r="120">
          <cell r="C120" t="str">
            <v>V06919</v>
          </cell>
          <cell r="D120" t="str">
            <v>三脚本体(Birds iRod 6G-7500用)</v>
          </cell>
        </row>
        <row r="121">
          <cell r="C121" t="str">
            <v>V06937</v>
          </cell>
          <cell r="D121" t="str">
            <v>見エ～ル専用　Bi Rod</v>
          </cell>
        </row>
        <row r="122">
          <cell r="C122" t="str">
            <v>V06938</v>
          </cell>
          <cell r="D122" t="str">
            <v>Bi アクセサリーケース</v>
          </cell>
        </row>
        <row r="123">
          <cell r="C123" t="str">
            <v>V06959</v>
          </cell>
          <cell r="D123" t="str">
            <v>Wireless Line用　新ミニプラグ</v>
          </cell>
        </row>
        <row r="124">
          <cell r="C124" t="str">
            <v>V06960</v>
          </cell>
          <cell r="D124" t="str">
            <v>Bi Rod エクステンション</v>
          </cell>
        </row>
        <row r="125">
          <cell r="C125" t="str">
            <v>V06996</v>
          </cell>
          <cell r="D125" t="str">
            <v>17mm ﾀﾞﾎﾞ受けｱﾀﾞﾌﾟﾀｰ(受け具)</v>
          </cell>
        </row>
        <row r="126">
          <cell r="C126" t="str">
            <v>V06997</v>
          </cell>
          <cell r="D126" t="str">
            <v>ﾀﾞﾎﾞ受けｱﾀﾞﾌﾟﾀｰ用ねじ</v>
          </cell>
        </row>
        <row r="127">
          <cell r="C127" t="str">
            <v>V07026</v>
          </cell>
          <cell r="D127" t="str">
            <v>クランプ調節用六角レンチ</v>
          </cell>
        </row>
        <row r="128">
          <cell r="C128" t="str">
            <v>V07032</v>
          </cell>
          <cell r="D128" t="str">
            <v>Birds iRod 6G-7500三脚用ﾊｰﾄﾞｹｰｽ</v>
          </cell>
        </row>
        <row r="129">
          <cell r="C129" t="str">
            <v>V07462</v>
          </cell>
          <cell r="D129" t="str">
            <v>2000/4500/7500三脚用上部スペーサー</v>
          </cell>
        </row>
        <row r="130">
          <cell r="C130" t="str">
            <v>V07463</v>
          </cell>
          <cell r="D130" t="str">
            <v>2000/4500/7500三脚用下部スペーサー</v>
          </cell>
        </row>
        <row r="131">
          <cell r="C131" t="str">
            <v>V07550</v>
          </cell>
          <cell r="D131" t="str">
            <v>Bi Rod 6C-7500  1段目</v>
          </cell>
        </row>
        <row r="132">
          <cell r="C132" t="str">
            <v>V07551</v>
          </cell>
          <cell r="D132" t="str">
            <v>Bi Rod 6C-7500  2段目</v>
          </cell>
        </row>
        <row r="133">
          <cell r="C133" t="str">
            <v>V07552</v>
          </cell>
          <cell r="D133" t="str">
            <v>Bi Rod 6C-7500  3段目</v>
          </cell>
        </row>
        <row r="134">
          <cell r="C134" t="str">
            <v>V07553</v>
          </cell>
          <cell r="D134" t="str">
            <v>Bi Rod 6C-7500  4段目</v>
          </cell>
        </row>
        <row r="135">
          <cell r="C135" t="str">
            <v>V07554</v>
          </cell>
          <cell r="D135" t="str">
            <v>Bi Rod 6C-7500  5段目</v>
          </cell>
        </row>
        <row r="136">
          <cell r="C136" t="str">
            <v>V07555</v>
          </cell>
          <cell r="D136" t="str">
            <v>Bi Rod 6C-7500　6段目</v>
          </cell>
        </row>
        <row r="137">
          <cell r="C137" t="str">
            <v>V07644</v>
          </cell>
          <cell r="D137" t="str">
            <v>Bi Rod 6G-7500　1段目</v>
          </cell>
        </row>
        <row r="138">
          <cell r="C138" t="str">
            <v>V07645</v>
          </cell>
          <cell r="D138" t="str">
            <v>Bi Rod 6G-7500　2段目</v>
          </cell>
        </row>
        <row r="139">
          <cell r="C139" t="str">
            <v>V07646</v>
          </cell>
          <cell r="D139" t="str">
            <v>Bi Rod 6G-7500　3段目</v>
          </cell>
        </row>
        <row r="140">
          <cell r="C140" t="str">
            <v>V07647</v>
          </cell>
          <cell r="D140" t="str">
            <v>Bi Rod 6G-7500　4段目</v>
          </cell>
        </row>
        <row r="141">
          <cell r="C141" t="str">
            <v>V07648</v>
          </cell>
          <cell r="D141" t="str">
            <v>Bi Rod 6G-7500　5段目</v>
          </cell>
        </row>
        <row r="142">
          <cell r="C142" t="str">
            <v>V07649</v>
          </cell>
          <cell r="D142" t="str">
            <v>Bi Rod 6G-7500　6段目</v>
          </cell>
        </row>
        <row r="143">
          <cell r="C143" t="str">
            <v>V07653</v>
          </cell>
          <cell r="D143" t="str">
            <v>Dコーンステッカー付</v>
          </cell>
        </row>
        <row r="144">
          <cell r="C144" t="str">
            <v>V07654</v>
          </cell>
          <cell r="D144" t="str">
            <v>Bi Rod 10C-11500　1段目</v>
          </cell>
        </row>
        <row r="145">
          <cell r="C145" t="str">
            <v>V07655</v>
          </cell>
          <cell r="D145" t="str">
            <v>Bi Rod 10C-11500　2段目</v>
          </cell>
        </row>
        <row r="146">
          <cell r="C146" t="str">
            <v>V07656</v>
          </cell>
          <cell r="D146" t="str">
            <v>Bi Rod 10C-11500　3段目</v>
          </cell>
        </row>
        <row r="147">
          <cell r="C147" t="str">
            <v>V07657</v>
          </cell>
          <cell r="D147" t="str">
            <v>Bi Rod 10C-11500　4段目</v>
          </cell>
        </row>
        <row r="148">
          <cell r="C148" t="str">
            <v>V07658</v>
          </cell>
          <cell r="D148" t="str">
            <v>Bi Rod 10C-11500　5段目</v>
          </cell>
        </row>
        <row r="149">
          <cell r="C149" t="str">
            <v>V07659</v>
          </cell>
          <cell r="D149" t="str">
            <v>Bi Rod 10C-11500　6段目</v>
          </cell>
        </row>
        <row r="150">
          <cell r="C150" t="str">
            <v>V07660</v>
          </cell>
          <cell r="D150" t="str">
            <v>Bi Rod 10C-11500　7段目</v>
          </cell>
        </row>
        <row r="151">
          <cell r="C151" t="str">
            <v>V07661</v>
          </cell>
          <cell r="D151" t="str">
            <v>Bi Rod 10C-11500　8段目</v>
          </cell>
        </row>
        <row r="152">
          <cell r="C152" t="str">
            <v>V07662</v>
          </cell>
          <cell r="D152" t="str">
            <v>Bi Rod 10C-11500　9段目</v>
          </cell>
        </row>
        <row r="153">
          <cell r="C153" t="str">
            <v>V07663</v>
          </cell>
          <cell r="D153" t="str">
            <v>Bi Rod 10C-11500　10段目</v>
          </cell>
        </row>
        <row r="154">
          <cell r="C154" t="str">
            <v>V07672</v>
          </cell>
          <cell r="D154" t="str">
            <v>11500三脚用上部スペーサー</v>
          </cell>
        </row>
        <row r="155">
          <cell r="C155" t="str">
            <v>V07673</v>
          </cell>
          <cell r="D155" t="str">
            <v>11500三脚用下部スペーサー</v>
          </cell>
        </row>
        <row r="156">
          <cell r="C156" t="str">
            <v>V07675</v>
          </cell>
          <cell r="D156" t="str">
            <v>Bi Rod 9C2FG-A 用ロッド</v>
          </cell>
        </row>
        <row r="157">
          <cell r="C157" t="str">
            <v>V10211</v>
          </cell>
          <cell r="D157" t="str">
            <v>スプリングスナップ</v>
          </cell>
        </row>
        <row r="158">
          <cell r="C158" t="str">
            <v>V10213</v>
          </cell>
          <cell r="D158" t="str">
            <v>同軸ケーブル</v>
          </cell>
        </row>
        <row r="159">
          <cell r="C159" t="str">
            <v>V10217</v>
          </cell>
          <cell r="D159" t="str">
            <v>特注WL用 同軸ケーブル</v>
          </cell>
        </row>
        <row r="160">
          <cell r="C160" t="str">
            <v>V07439</v>
          </cell>
          <cell r="D160" t="str">
            <v>つかめる水玉 内容物</v>
          </cell>
        </row>
        <row r="161">
          <cell r="C161" t="str">
            <v>V07072</v>
          </cell>
          <cell r="D161" t="str">
            <v>T006硫酸製剤用ｼﾘｶｹﾞﾙ (CARiACT Q-10)</v>
          </cell>
        </row>
        <row r="162">
          <cell r="C162" t="str">
            <v>V07080</v>
          </cell>
          <cell r="D162" t="str">
            <v>T006用ﾄﾞﾗｲﾔｰﾝﾀﾌﾞﾚｯﾄ DO1506</v>
          </cell>
        </row>
        <row r="163">
          <cell r="C163" t="str">
            <v>V07501</v>
          </cell>
          <cell r="D163" t="str">
            <v>クレベリン用PVCケース・ストラップ</v>
          </cell>
        </row>
        <row r="164">
          <cell r="C164" t="str">
            <v>V05739</v>
          </cell>
          <cell r="D164" t="str">
            <v>ｸﾚﾍﾞﾘﾝｽﾃｨｯｸﾍﾟﾝﾀｲﾌﾟ名入れ用スティック</v>
          </cell>
        </row>
        <row r="165">
          <cell r="C165" t="str">
            <v>V07502</v>
          </cell>
          <cell r="D165" t="str">
            <v>ｸﾚﾍﾞﾘﾝｽﾃｨｯｸﾍﾟﾝﾀｲﾌﾟ名入ｹｰｽ ﾚｯﾄﾞ</v>
          </cell>
        </row>
        <row r="166">
          <cell r="C166" t="str">
            <v>V07503</v>
          </cell>
          <cell r="D166" t="str">
            <v>ｸﾚﾍﾞﾘﾝｽﾃｨｯｸﾍﾟﾝﾀｲﾌﾟ名入ｹｰｽ ﾌﾞﾙｰ</v>
          </cell>
        </row>
        <row r="167">
          <cell r="C167" t="str">
            <v>V07504</v>
          </cell>
          <cell r="D167" t="str">
            <v>ｸﾚﾍﾞﾘﾝｽﾃｨｯｸﾍﾟﾝﾀｲﾌﾟ名入ｹｰｽ ｲｴﾛｰ</v>
          </cell>
        </row>
        <row r="168">
          <cell r="C168" t="str">
            <v>V07505</v>
          </cell>
          <cell r="D168" t="str">
            <v>ｸﾚﾍﾞﾘﾝｽﾃｨｯｸﾍﾟﾝﾀｲﾌﾟ名入ｹｰｽ ﾌﾞﾗｯｸ</v>
          </cell>
        </row>
        <row r="169">
          <cell r="C169" t="str">
            <v>V07506</v>
          </cell>
          <cell r="D169" t="str">
            <v>ｸﾚﾍﾞﾘﾝｽﾃｨｯｸﾍﾟﾝﾀｲﾌﾟ名入ｹｰｽ ﾎﾜｲﾄ</v>
          </cell>
        </row>
        <row r="170">
          <cell r="C170" t="str">
            <v>V07507</v>
          </cell>
          <cell r="D170" t="str">
            <v>ｸﾚﾍﾞﾘﾝｽﾃｨｯｸﾍﾟﾝﾀｲﾌﾟ名入ｹｰｽ ﾗｲﾄｸﾞﾘｰﾝ</v>
          </cell>
        </row>
        <row r="171">
          <cell r="C171" t="str">
            <v>V07508</v>
          </cell>
          <cell r="D171" t="str">
            <v>ｸﾚﾍﾞﾘﾝｽﾃｨｯｸﾍﾟﾝﾀｲﾌﾟ名入ｹｰｽ ｸｰﾙｸﾞﾚｰ</v>
          </cell>
        </row>
        <row r="172">
          <cell r="C172" t="str">
            <v>V07509</v>
          </cell>
          <cell r="D172" t="str">
            <v>ｸﾚﾍﾞﾘﾝｽﾃｨｯｸﾍﾟﾝﾀｲﾌﾟ名入ｹｰｽ ﾊﾟｽﾃﾙﾋﾟﾝｸ</v>
          </cell>
        </row>
        <row r="173">
          <cell r="C173" t="str">
            <v>V07510</v>
          </cell>
          <cell r="D173" t="str">
            <v>ｸﾚﾍﾞﾘﾝｽﾃｨｯｸﾍﾟﾝﾀｲﾌﾟ名入ｹｰｽ ﾊﾟｽﾃﾙﾌﾞﾙｰ</v>
          </cell>
        </row>
        <row r="174">
          <cell r="C174" t="str">
            <v>V07511</v>
          </cell>
          <cell r="D174" t="str">
            <v>ｸﾚﾍﾞﾘﾝｽﾃｨｯｸﾍﾟﾝﾀｲﾌﾟ名入ｹｰｽ ﾊﾟｽﾃﾙｸﾞﾘｰﾝ</v>
          </cell>
        </row>
        <row r="175">
          <cell r="C175" t="str">
            <v>V07512</v>
          </cell>
          <cell r="D175" t="str">
            <v>ｸﾚﾍﾞﾘﾝｽﾃｨｯｸﾍﾟﾝﾀｲﾌﾟ名入ｹｰｽﾊﾟｽﾃﾙﾊﾟｰﾌﾟﾙ</v>
          </cell>
        </row>
        <row r="176">
          <cell r="C176" t="str">
            <v>V07513</v>
          </cell>
          <cell r="D176" t="str">
            <v>ｸﾚﾍﾞﾘﾝｽﾃｨｯｸﾍﾟﾝﾀｲﾌﾟ名入ｹｰｽ ﾊﾟｽﾃﾙｲｴﾛｰ</v>
          </cell>
        </row>
        <row r="177">
          <cell r="C177" t="str">
            <v>V10545</v>
          </cell>
          <cell r="D177" t="str">
            <v>T009用クレベリンスティック</v>
          </cell>
        </row>
      </sheetData>
      <sheetData sheetId="4">
        <row r="96">
          <cell r="K96">
            <v>3256975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3AE76-41AB-4CC1-A42D-6D20541D663E}">
  <sheetPr codeName="Sheet2"/>
  <dimension ref="A1:M835"/>
  <sheetViews>
    <sheetView tabSelected="1" topLeftCell="A815" zoomScale="77" workbookViewId="0">
      <selection activeCell="D837" sqref="D837"/>
    </sheetView>
  </sheetViews>
  <sheetFormatPr defaultRowHeight="15" customHeight="1" x14ac:dyDescent="0.2"/>
  <cols>
    <col min="1" max="1" width="20.54296875" style="14" customWidth="1"/>
    <col min="2" max="2" width="45.6328125" style="15" customWidth="1"/>
    <col min="3" max="3" width="15.6328125" style="16" customWidth="1"/>
    <col min="4" max="4" width="60.08984375" style="16" customWidth="1"/>
    <col min="5" max="5" width="18.6328125" customWidth="1"/>
    <col min="6" max="6" width="10.08984375" style="3" customWidth="1"/>
    <col min="7" max="7" width="27.81640625" style="17" customWidth="1"/>
    <col min="8" max="8" width="13.54296875" customWidth="1"/>
    <col min="11" max="11" width="18" customWidth="1"/>
  </cols>
  <sheetData>
    <row r="1" spans="1:13" ht="30" customHeight="1" x14ac:dyDescent="0.2">
      <c r="A1" s="5" t="s">
        <v>14</v>
      </c>
      <c r="B1" s="5" t="s">
        <v>15</v>
      </c>
      <c r="C1" s="6" t="s">
        <v>16</v>
      </c>
      <c r="D1" s="6" t="s">
        <v>675</v>
      </c>
      <c r="E1" s="7" t="s">
        <v>17</v>
      </c>
      <c r="F1" s="7" t="s">
        <v>18</v>
      </c>
      <c r="G1" s="8" t="s">
        <v>676</v>
      </c>
      <c r="H1" s="8">
        <v>46260</v>
      </c>
      <c r="J1" s="9" t="s">
        <v>19</v>
      </c>
      <c r="K1" s="9" t="s">
        <v>17</v>
      </c>
    </row>
    <row r="2" spans="1:13" ht="15" customHeight="1" x14ac:dyDescent="0.2">
      <c r="A2" s="10" t="s">
        <v>223</v>
      </c>
      <c r="B2" s="10" t="str">
        <f>IFERROR(
    INDEX([1]FSHIP!B:B,MATCH(A2,[1]FSHIP!A:A,0)),
    IFERROR(
        INDEX([1]釣具商品ship!B:B,MATCH(A2,[1]釣具商品ship!A:A,0)),
        IFERROR(
            INDEX([1]玩具商品ship!B:B,MATCH(A2,[1]玩具商品ship!A:A,0)),
            IFERROR(
                INDEX([1]OEMship!B:B,MATCH(A2,[1]OEMship!A:A,0)),
                IFERROR(
                    INDEX([1]NV6ship!B:B,MATCH(A2,[1]NV6ship!A:A,0)),
                    IFERROR(
                        INDEX([1]NVship!B:B,MATCH(A2,[1]NVship!A:A,0)),
                        IFERROR(
                            INDEX([1]海ship!B:B,MATCH(A2,[1]海ship!A:A,0)),
                            IFERROR(
                                INDEX([1]ｾﾚship!B:B,MATCH(A2,[1]ｾﾚship!A:A,0)),
                                IFERROR(
                                    INDEX([1]ｾﾚﾓﾆｰ商品ship!B:B,MATCH(A2,[1]ｾﾚﾓﾆｰ商品ship!A:A,0)),
                                    INDEX([2]NV!D:D,MATCH(A2,[2]NV!C:C,0))
                                )
                            )
                        )
                    )
                )
            )
        )
    )
)</f>
        <v>ケミホタル２０　セット</v>
      </c>
      <c r="C2" s="4" t="s">
        <v>8</v>
      </c>
      <c r="D2" s="10" t="str">
        <f t="shared" ref="D2:D65" si="0">B2&amp;" ｜ "&amp;E2&amp;"【"&amp;F2&amp;"】 ｜ "&amp;C2</f>
        <v>ケミホタル２０　セット ｜ 1F釣具部屋【04】 ｜ I</v>
      </c>
      <c r="E2" s="11" t="str">
        <f t="shared" ref="E2:E65" si="1">INDEX(K:K, MATCH(F2, J:J, 0))</f>
        <v>1F釣具部屋</v>
      </c>
      <c r="F2" s="12" t="s">
        <v>21</v>
      </c>
      <c r="G2" s="11" t="str">
        <f t="shared" ref="G2:G65" si="2">F2&amp;"・"&amp;E2&amp;C2</f>
        <v>04・1F釣具部屋I</v>
      </c>
      <c r="H2" s="3"/>
      <c r="J2" s="2" t="s">
        <v>22</v>
      </c>
      <c r="K2" s="2" t="s">
        <v>720</v>
      </c>
    </row>
    <row r="3" spans="1:13" ht="15" customHeight="1" x14ac:dyDescent="0.2">
      <c r="A3" s="10" t="s">
        <v>192</v>
      </c>
      <c r="B3" s="10" t="str">
        <f>IFERROR(
    INDEX([1]FSHIP!B:B,MATCH(A3,[1]FSHIP!A:A,0)),
    IFERROR(
        INDEX([1]釣具商品ship!B:B,MATCH(A3,[1]釣具商品ship!A:A,0)),
        IFERROR(
            INDEX([1]玩具商品ship!B:B,MATCH(A3,[1]玩具商品ship!A:A,0)),
            IFERROR(
                INDEX([1]OEMship!B:B,MATCH(A3,[1]OEMship!A:A,0)),
                IFERROR(
                    INDEX([1]NV6ship!B:B,MATCH(A3,[1]NV6ship!A:A,0)),
                    IFERROR(
                        INDEX([1]NVship!B:B,MATCH(A3,[1]NVship!A:A,0)),
                        IFERROR(
                            INDEX([1]海ship!B:B,MATCH(A3,[1]海ship!A:A,0)),
                            IFERROR(
                                INDEX([1]ｾﾚship!B:B,MATCH(A3,[1]ｾﾚship!A:A,0)),
                                IFERROR(
                                    INDEX([1]ｾﾚﾓﾆｰ商品ship!B:B,MATCH(A3,[1]ｾﾚﾓﾆｰ商品ship!A:A,0)),
                                    INDEX([2]NV!D:D,MATCH(A3,[2]NV!C:C,0))
                                )
                            )
                        )
                    )
                )
            )
        )
    )
)</f>
        <v>ケミホタル25イエロー(2本入り)</v>
      </c>
      <c r="C3" s="4" t="s">
        <v>10</v>
      </c>
      <c r="D3" s="10" t="str">
        <f t="shared" si="0"/>
        <v>ケミホタル25イエロー(2本入り) ｜ 1F釣具部屋【04】 ｜ H</v>
      </c>
      <c r="E3" s="11" t="str">
        <f t="shared" si="1"/>
        <v>1F釣具部屋</v>
      </c>
      <c r="F3" s="12" t="s">
        <v>21</v>
      </c>
      <c r="G3" s="11" t="str">
        <f t="shared" si="2"/>
        <v>04・1F釣具部屋H</v>
      </c>
      <c r="H3" s="3"/>
      <c r="J3" s="2" t="s">
        <v>24</v>
      </c>
      <c r="K3" s="2"/>
      <c r="L3" s="1"/>
      <c r="M3" s="13"/>
    </row>
    <row r="4" spans="1:13" ht="15" customHeight="1" x14ac:dyDescent="0.2">
      <c r="A4" s="10" t="s">
        <v>312</v>
      </c>
      <c r="B4" s="10" t="str">
        <f>IFERROR(
    INDEX([1]FSHIP!B:B,MATCH(A4,[1]FSHIP!A:A,0)),
    IFERROR(
        INDEX([1]釣具商品ship!B:B,MATCH(A4,[1]釣具商品ship!A:A,0)),
        IFERROR(
            INDEX([1]玩具商品ship!B:B,MATCH(A4,[1]玩具商品ship!A:A,0)),
            IFERROR(
                INDEX([1]OEMship!B:B,MATCH(A4,[1]OEMship!A:A,0)),
                IFERROR(
                    INDEX([1]NV6ship!B:B,MATCH(A4,[1]NV6ship!A:A,0)),
                    IFERROR(
                        INDEX([1]NVship!B:B,MATCH(A4,[1]NVship!A:A,0)),
                        IFERROR(
                            INDEX([1]海ship!B:B,MATCH(A4,[1]海ship!A:A,0)),
                            IFERROR(
                                INDEX([1]ｾﾚship!B:B,MATCH(A4,[1]ｾﾚship!A:A,0)),
                                IFERROR(
                                    INDEX([1]ｾﾚﾓﾆｰ商品ship!B:B,MATCH(A4,[1]ｾﾚﾓﾆｰ商品ship!A:A,0)),
                                    INDEX([2]NV!D:D,MATCH(A4,[2]NV!C:C,0))
                                )
                            )
                        )
                    )
                )
            )
        )
    )
)</f>
        <v>ケミホタル25レッド(2本入り)</v>
      </c>
      <c r="C4" s="4" t="s">
        <v>10</v>
      </c>
      <c r="D4" s="10" t="str">
        <f t="shared" si="0"/>
        <v>ケミホタル25レッド(2本入り) ｜ 1F釣具部屋【04】 ｜ H</v>
      </c>
      <c r="E4" s="11" t="str">
        <f t="shared" si="1"/>
        <v>1F釣具部屋</v>
      </c>
      <c r="F4" s="12" t="s">
        <v>21</v>
      </c>
      <c r="G4" s="11" t="str">
        <f t="shared" si="2"/>
        <v>04・1F釣具部屋H</v>
      </c>
      <c r="H4" s="3"/>
      <c r="J4" s="2" t="s">
        <v>26</v>
      </c>
      <c r="K4" s="2" t="s">
        <v>366</v>
      </c>
      <c r="L4" s="1"/>
      <c r="M4" s="13"/>
    </row>
    <row r="5" spans="1:13" ht="15" customHeight="1" x14ac:dyDescent="0.2">
      <c r="A5" s="10" t="s">
        <v>313</v>
      </c>
      <c r="B5" s="10" t="str">
        <f>IFERROR(
    INDEX([1]FSHIP!B:B,MATCH(A5,[1]FSHIP!A:A,0)),
    IFERROR(
        INDEX([1]釣具商品ship!B:B,MATCH(A5,[1]釣具商品ship!A:A,0)),
        IFERROR(
            INDEX([1]玩具商品ship!B:B,MATCH(A5,[1]玩具商品ship!A:A,0)),
            IFERROR(
                INDEX([1]OEMship!B:B,MATCH(A5,[1]OEMship!A:A,0)),
                IFERROR(
                    INDEX([1]NV6ship!B:B,MATCH(A5,[1]NV6ship!A:A,0)),
                    IFERROR(
                        INDEX([1]NVship!B:B,MATCH(A5,[1]NVship!A:A,0)),
                        IFERROR(
                            INDEX([1]海ship!B:B,MATCH(A5,[1]海ship!A:A,0)),
                            IFERROR(
                                INDEX([1]ｾﾚship!B:B,MATCH(A5,[1]ｾﾚship!A:A,0)),
                                IFERROR(
                                    INDEX([1]ｾﾚﾓﾆｰ商品ship!B:B,MATCH(A5,[1]ｾﾚﾓﾆｰ商品ship!A:A,0)),
                                    INDEX([2]NV!D:D,MATCH(A5,[2]NV!C:C,0))
                                )
                            )
                        )
                    )
                )
            )
        )
    )
)</f>
        <v>ケミホタル25イエロー(2本入) 3枚ｾｯﾄ</v>
      </c>
      <c r="C5" s="4" t="s">
        <v>2</v>
      </c>
      <c r="D5" s="10" t="str">
        <f t="shared" si="0"/>
        <v>ケミホタル25イエロー(2本入) 3枚ｾｯﾄ ｜ 1F釣具部屋【04】 ｜ M</v>
      </c>
      <c r="E5" s="11" t="str">
        <f t="shared" si="1"/>
        <v>1F釣具部屋</v>
      </c>
      <c r="F5" s="12" t="s">
        <v>21</v>
      </c>
      <c r="G5" s="11" t="str">
        <f t="shared" si="2"/>
        <v>04・1F釣具部屋M</v>
      </c>
      <c r="H5" s="3"/>
      <c r="J5" s="2" t="s">
        <v>21</v>
      </c>
      <c r="K5" s="2" t="s">
        <v>28</v>
      </c>
      <c r="L5" s="1"/>
      <c r="M5" s="13"/>
    </row>
    <row r="6" spans="1:13" ht="15" customHeight="1" x14ac:dyDescent="0.2">
      <c r="A6" s="10" t="s">
        <v>191</v>
      </c>
      <c r="B6" s="10" t="str">
        <f>IFERROR(
    INDEX([1]FSHIP!B:B,MATCH(A6,[1]FSHIP!A:A,0)),
    IFERROR(
        INDEX([1]釣具商品ship!B:B,MATCH(A6,[1]釣具商品ship!A:A,0)),
        IFERROR(
            INDEX([1]玩具商品ship!B:B,MATCH(A6,[1]玩具商品ship!A:A,0)),
            IFERROR(
                INDEX([1]OEMship!B:B,MATCH(A6,[1]OEMship!A:A,0)),
                IFERROR(
                    INDEX([1]NV6ship!B:B,MATCH(A6,[1]NV6ship!A:A,0)),
                    IFERROR(
                        INDEX([1]NVship!B:B,MATCH(A6,[1]NVship!A:A,0)),
                        IFERROR(
                            INDEX([1]海ship!B:B,MATCH(A6,[1]海ship!A:A,0)),
                            IFERROR(
                                INDEX([1]ｾﾚship!B:B,MATCH(A6,[1]ｾﾚship!A:A,0)),
                                IFERROR(
                                    INDEX([1]ｾﾚﾓﾆｰ商品ship!B:B,MATCH(A6,[1]ｾﾚﾓﾆｰ商品ship!A:A,0)),
                                    INDEX([2]NV!D:D,MATCH(A6,[2]NV!C:C,0))
                                )
                            )
                        )
                    )
                )
            )
        )
    )
)</f>
        <v>ケミホタル37イエロー(2本入り)</v>
      </c>
      <c r="C6" s="4" t="s">
        <v>10</v>
      </c>
      <c r="D6" s="10" t="str">
        <f t="shared" si="0"/>
        <v>ケミホタル37イエロー(2本入り) ｜ 1F釣具部屋【04】 ｜ H</v>
      </c>
      <c r="E6" s="11" t="str">
        <f t="shared" si="1"/>
        <v>1F釣具部屋</v>
      </c>
      <c r="F6" s="12" t="s">
        <v>21</v>
      </c>
      <c r="G6" s="11" t="str">
        <f t="shared" si="2"/>
        <v>04・1F釣具部屋H</v>
      </c>
      <c r="H6" s="3"/>
      <c r="J6" s="2" t="s">
        <v>30</v>
      </c>
      <c r="K6" s="2" t="s">
        <v>799</v>
      </c>
    </row>
    <row r="7" spans="1:13" ht="15" customHeight="1" x14ac:dyDescent="0.2">
      <c r="A7" s="10" t="s">
        <v>314</v>
      </c>
      <c r="B7" s="10" t="str">
        <f>IFERROR(
    INDEX([1]FSHIP!B:B,MATCH(A7,[1]FSHIP!A:A,0)),
    IFERROR(
        INDEX([1]釣具商品ship!B:B,MATCH(A7,[1]釣具商品ship!A:A,0)),
        IFERROR(
            INDEX([1]玩具商品ship!B:B,MATCH(A7,[1]玩具商品ship!A:A,0)),
            IFERROR(
                INDEX([1]OEMship!B:B,MATCH(A7,[1]OEMship!A:A,0)),
                IFERROR(
                    INDEX([1]NV6ship!B:B,MATCH(A7,[1]NV6ship!A:A,0)),
                    IFERROR(
                        INDEX([1]NVship!B:B,MATCH(A7,[1]NVship!A:A,0)),
                        IFERROR(
                            INDEX([1]海ship!B:B,MATCH(A7,[1]海ship!A:A,0)),
                            IFERROR(
                                INDEX([1]ｾﾚship!B:B,MATCH(A7,[1]ｾﾚship!A:A,0)),
                                IFERROR(
                                    INDEX([1]ｾﾚﾓﾆｰ商品ship!B:B,MATCH(A7,[1]ｾﾚﾓﾆｰ商品ship!A:A,0)),
                                    INDEX([2]NV!D:D,MATCH(A7,[2]NV!C:C,0))
                                )
                            )
                        )
                    )
                )
            )
        )
    )
)</f>
        <v>ケミホタル37レッド(2本入り)</v>
      </c>
      <c r="C7" s="4" t="s">
        <v>8</v>
      </c>
      <c r="D7" s="10" t="str">
        <f t="shared" si="0"/>
        <v>ケミホタル37レッド(2本入り) ｜ 1F釣具部屋【04】 ｜ I</v>
      </c>
      <c r="E7" s="11" t="str">
        <f t="shared" si="1"/>
        <v>1F釣具部屋</v>
      </c>
      <c r="F7" s="12" t="s">
        <v>21</v>
      </c>
      <c r="G7" s="11" t="str">
        <f t="shared" si="2"/>
        <v>04・1F釣具部屋I</v>
      </c>
      <c r="H7" s="3"/>
      <c r="J7" s="2" t="s">
        <v>32</v>
      </c>
      <c r="K7" s="2" t="s">
        <v>13</v>
      </c>
    </row>
    <row r="8" spans="1:13" ht="15" customHeight="1" x14ac:dyDescent="0.2">
      <c r="A8" s="10" t="s">
        <v>315</v>
      </c>
      <c r="B8" s="10" t="str">
        <f>IFERROR(
    INDEX([1]FSHIP!B:B,MATCH(A8,[1]FSHIP!A:A,0)),
    IFERROR(
        INDEX([1]釣具商品ship!B:B,MATCH(A8,[1]釣具商品ship!A:A,0)),
        IFERROR(
            INDEX([1]玩具商品ship!B:B,MATCH(A8,[1]玩具商品ship!A:A,0)),
            IFERROR(
                INDEX([1]OEMship!B:B,MATCH(A8,[1]OEMship!A:A,0)),
                IFERROR(
                    INDEX([1]NV6ship!B:B,MATCH(A8,[1]NV6ship!A:A,0)),
                    IFERROR(
                        INDEX([1]NVship!B:B,MATCH(A8,[1]NVship!A:A,0)),
                        IFERROR(
                            INDEX([1]海ship!B:B,MATCH(A8,[1]海ship!A:A,0)),
                            IFERROR(
                                INDEX([1]ｾﾚship!B:B,MATCH(A8,[1]ｾﾚship!A:A,0)),
                                IFERROR(
                                    INDEX([1]ｾﾚﾓﾆｰ商品ship!B:B,MATCH(A8,[1]ｾﾚﾓﾆｰ商品ship!A:A,0)),
                                    INDEX([2]NV!D:D,MATCH(A8,[2]NV!C:C,0))
                                )
                            )
                        )
                    )
                )
            )
        )
    )
)</f>
        <v>ケミホタル37イエロー(2本入) 3枚ｾｯﾄ</v>
      </c>
      <c r="C8" s="4" t="s">
        <v>2</v>
      </c>
      <c r="D8" s="10" t="str">
        <f t="shared" si="0"/>
        <v>ケミホタル37イエロー(2本入) 3枚ｾｯﾄ ｜ 1F釣具部屋【04】 ｜ M</v>
      </c>
      <c r="E8" s="11" t="str">
        <f t="shared" si="1"/>
        <v>1F釣具部屋</v>
      </c>
      <c r="F8" s="12" t="s">
        <v>21</v>
      </c>
      <c r="G8" s="11" t="str">
        <f t="shared" si="2"/>
        <v>04・1F釣具部屋M</v>
      </c>
      <c r="H8" s="3"/>
      <c r="J8" s="2" t="s">
        <v>473</v>
      </c>
      <c r="K8" s="2" t="s">
        <v>476</v>
      </c>
    </row>
    <row r="9" spans="1:13" ht="15" customHeight="1" x14ac:dyDescent="0.2">
      <c r="A9" s="10" t="s">
        <v>316</v>
      </c>
      <c r="B9" s="10" t="str">
        <f>IFERROR(
    INDEX([1]FSHIP!B:B,MATCH(A9,[1]FSHIP!A:A,0)),
    IFERROR(
        INDEX([1]釣具商品ship!B:B,MATCH(A9,[1]釣具商品ship!A:A,0)),
        IFERROR(
            INDEX([1]玩具商品ship!B:B,MATCH(A9,[1]玩具商品ship!A:A,0)),
            IFERROR(
                INDEX([1]OEMship!B:B,MATCH(A9,[1]OEMship!A:A,0)),
                IFERROR(
                    INDEX([1]NV6ship!B:B,MATCH(A9,[1]NV6ship!A:A,0)),
                    IFERROR(
                        INDEX([1]NVship!B:B,MATCH(A9,[1]NVship!A:A,0)),
                        IFERROR(
                            INDEX([1]海ship!B:B,MATCH(A9,[1]海ship!A:A,0)),
                            IFERROR(
                                INDEX([1]ｾﾚship!B:B,MATCH(A9,[1]ｾﾚship!A:A,0)),
                                IFERROR(
                                    INDEX([1]ｾﾚﾓﾆｰ商品ship!B:B,MATCH(A9,[1]ｾﾚﾓﾆｰ商品ship!A:A,0)),
                                    INDEX([2]NV!D:D,MATCH(A9,[2]NV!C:C,0))
                                )
                            )
                        )
                    )
                )
            )
        )
    )
)</f>
        <v>ケミホタル50イエロー(2本入り)</v>
      </c>
      <c r="C9" s="4" t="s">
        <v>10</v>
      </c>
      <c r="D9" s="10" t="str">
        <f t="shared" si="0"/>
        <v>ケミホタル50イエロー(2本入り) ｜ 1F釣具部屋【04】 ｜ H</v>
      </c>
      <c r="E9" s="11" t="str">
        <f t="shared" si="1"/>
        <v>1F釣具部屋</v>
      </c>
      <c r="F9" s="12" t="s">
        <v>21</v>
      </c>
      <c r="G9" s="11" t="str">
        <f t="shared" si="2"/>
        <v>04・1F釣具部屋H</v>
      </c>
      <c r="H9" s="3"/>
      <c r="J9" s="2" t="s">
        <v>475</v>
      </c>
      <c r="K9" s="2" t="s">
        <v>474</v>
      </c>
    </row>
    <row r="10" spans="1:13" ht="15" customHeight="1" x14ac:dyDescent="0.2">
      <c r="A10" s="10" t="s">
        <v>317</v>
      </c>
      <c r="B10" s="10" t="str">
        <f>IFERROR(
    INDEX([1]FSHIP!B:B,MATCH(A10,[1]FSHIP!A:A,0)),
    IFERROR(
        INDEX([1]釣具商品ship!B:B,MATCH(A10,[1]釣具商品ship!A:A,0)),
        IFERROR(
            INDEX([1]玩具商品ship!B:B,MATCH(A10,[1]玩具商品ship!A:A,0)),
            IFERROR(
                INDEX([1]OEMship!B:B,MATCH(A10,[1]OEMship!A:A,0)),
                IFERROR(
                    INDEX([1]NV6ship!B:B,MATCH(A10,[1]NV6ship!A:A,0)),
                    IFERROR(
                        INDEX([1]NVship!B:B,MATCH(A10,[1]NVship!A:A,0)),
                        IFERROR(
                            INDEX([1]海ship!B:B,MATCH(A10,[1]海ship!A:A,0)),
                            IFERROR(
                                INDEX([1]ｾﾚship!B:B,MATCH(A10,[1]ｾﾚship!A:A,0)),
                                IFERROR(
                                    INDEX([1]ｾﾚﾓﾆｰ商品ship!B:B,MATCH(A10,[1]ｾﾚﾓﾆｰ商品ship!A:A,0)),
                                    INDEX([2]NV!D:D,MATCH(A10,[2]NV!C:C,0))
                                )
                            )
                        )
                    )
                )
            )
        )
    )
)</f>
        <v>ケミホタル50レッド(2本入り)</v>
      </c>
      <c r="C10" s="4" t="s">
        <v>6</v>
      </c>
      <c r="D10" s="10" t="str">
        <f t="shared" si="0"/>
        <v>ケミホタル50レッド(2本入り) ｜ 1F釣具部屋【04】 ｜ J</v>
      </c>
      <c r="E10" s="11" t="str">
        <f t="shared" si="1"/>
        <v>1F釣具部屋</v>
      </c>
      <c r="F10" s="12" t="s">
        <v>21</v>
      </c>
      <c r="G10" s="11" t="str">
        <f t="shared" si="2"/>
        <v>04・1F釣具部屋J</v>
      </c>
      <c r="H10" s="3"/>
      <c r="J10" s="2" t="s">
        <v>748</v>
      </c>
      <c r="K10" s="18" t="s">
        <v>749</v>
      </c>
    </row>
    <row r="11" spans="1:13" ht="15" customHeight="1" x14ac:dyDescent="0.2">
      <c r="A11" s="10" t="s">
        <v>318</v>
      </c>
      <c r="B11" s="10" t="str">
        <f>IFERROR(
    INDEX([1]FSHIP!B:B,MATCH(A11,[1]FSHIP!A:A,0)),
    IFERROR(
        INDEX([1]釣具商品ship!B:B,MATCH(A11,[1]釣具商品ship!A:A,0)),
        IFERROR(
            INDEX([1]玩具商品ship!B:B,MATCH(A11,[1]玩具商品ship!A:A,0)),
            IFERROR(
                INDEX([1]OEMship!B:B,MATCH(A11,[1]OEMship!A:A,0)),
                IFERROR(
                    INDEX([1]NV6ship!B:B,MATCH(A11,[1]NV6ship!A:A,0)),
                    IFERROR(
                        INDEX([1]NVship!B:B,MATCH(A11,[1]NVship!A:A,0)),
                        IFERROR(
                            INDEX([1]海ship!B:B,MATCH(A11,[1]海ship!A:A,0)),
                            IFERROR(
                                INDEX([1]ｾﾚship!B:B,MATCH(A11,[1]ｾﾚship!A:A,0)),
                                IFERROR(
                                    INDEX([1]ｾﾚﾓﾆｰ商品ship!B:B,MATCH(A11,[1]ｾﾚﾓﾆｰ商品ship!A:A,0)),
                                    INDEX([2]NV!D:D,MATCH(A11,[2]NV!C:C,0))
                                )
                            )
                        )
                    )
                )
            )
        )
    )
)</f>
        <v>ケミホタル50イエロー(2本入) 3枚ｾｯﾄ</v>
      </c>
      <c r="C11" s="4" t="s">
        <v>2</v>
      </c>
      <c r="D11" s="10" t="str">
        <f t="shared" si="0"/>
        <v>ケミホタル50イエロー(2本入) 3枚ｾｯﾄ ｜ 1F釣具部屋【04】 ｜ M</v>
      </c>
      <c r="E11" s="11" t="str">
        <f t="shared" si="1"/>
        <v>1F釣具部屋</v>
      </c>
      <c r="F11" s="12" t="s">
        <v>21</v>
      </c>
      <c r="G11" s="11" t="str">
        <f t="shared" si="2"/>
        <v>04・1F釣具部屋M</v>
      </c>
      <c r="H11" s="3"/>
    </row>
    <row r="12" spans="1:13" ht="15" customHeight="1" x14ac:dyDescent="0.2">
      <c r="A12" s="10" t="s">
        <v>319</v>
      </c>
      <c r="B12" s="10" t="str">
        <f>IFERROR(
    INDEX([1]FSHIP!B:B,MATCH(A12,[1]FSHIP!A:A,0)),
    IFERROR(
        INDEX([1]釣具商品ship!B:B,MATCH(A12,[1]釣具商品ship!A:A,0)),
        IFERROR(
            INDEX([1]玩具商品ship!B:B,MATCH(A12,[1]玩具商品ship!A:A,0)),
            IFERROR(
                INDEX([1]OEMship!B:B,MATCH(A12,[1]OEMship!A:A,0)),
                IFERROR(
                    INDEX([1]NV6ship!B:B,MATCH(A12,[1]NV6ship!A:A,0)),
                    IFERROR(
                        INDEX([1]NVship!B:B,MATCH(A12,[1]NVship!A:A,0)),
                        IFERROR(
                            INDEX([1]海ship!B:B,MATCH(A12,[1]海ship!A:A,0)),
                            IFERROR(
                                INDEX([1]ｾﾚship!B:B,MATCH(A12,[1]ｾﾚship!A:A,0)),
                                IFERROR(
                                    INDEX([1]ｾﾚﾓﾆｰ商品ship!B:B,MATCH(A12,[1]ｾﾚﾓﾆｰ商品ship!A:A,0)),
                                    INDEX([2]NV!D:D,MATCH(A12,[2]NV!C:C,0))
                                )
                            )
                        )
                    )
                )
            )
        )
    )
)</f>
        <v>ケミホタル75イエロー(2本入り)</v>
      </c>
      <c r="C12" s="4" t="s">
        <v>10</v>
      </c>
      <c r="D12" s="10" t="str">
        <f t="shared" si="0"/>
        <v>ケミホタル75イエロー(2本入り) ｜ 1F釣具部屋【04】 ｜ H</v>
      </c>
      <c r="E12" s="11" t="str">
        <f t="shared" si="1"/>
        <v>1F釣具部屋</v>
      </c>
      <c r="F12" s="12" t="s">
        <v>21</v>
      </c>
      <c r="G12" s="11" t="str">
        <f t="shared" si="2"/>
        <v>04・1F釣具部屋H</v>
      </c>
      <c r="H12" s="3"/>
    </row>
    <row r="13" spans="1:13" ht="15" customHeight="1" x14ac:dyDescent="0.2">
      <c r="A13" s="10" t="s">
        <v>320</v>
      </c>
      <c r="B13" s="10" t="str">
        <f>IFERROR(
    INDEX([1]FSHIP!B:B,MATCH(A13,[1]FSHIP!A:A,0)),
    IFERROR(
        INDEX([1]釣具商品ship!B:B,MATCH(A13,[1]釣具商品ship!A:A,0)),
        IFERROR(
            INDEX([1]玩具商品ship!B:B,MATCH(A13,[1]玩具商品ship!A:A,0)),
            IFERROR(
                INDEX([1]OEMship!B:B,MATCH(A13,[1]OEMship!A:A,0)),
                IFERROR(
                    INDEX([1]NV6ship!B:B,MATCH(A13,[1]NV6ship!A:A,0)),
                    IFERROR(
                        INDEX([1]NVship!B:B,MATCH(A13,[1]NVship!A:A,0)),
                        IFERROR(
                            INDEX([1]海ship!B:B,MATCH(A13,[1]海ship!A:A,0)),
                            IFERROR(
                                INDEX([1]ｾﾚship!B:B,MATCH(A13,[1]ｾﾚship!A:A,0)),
                                IFERROR(
                                    INDEX([1]ｾﾚﾓﾆｰ商品ship!B:B,MATCH(A13,[1]ｾﾚﾓﾆｰ商品ship!A:A,0)),
                                    INDEX([2]NV!D:D,MATCH(A13,[2]NV!C:C,0))
                                )
                            )
                        )
                    )
                )
            )
        )
    )
)</f>
        <v>ケミホタル75レッド(2本入り)</v>
      </c>
      <c r="C13" s="4" t="s">
        <v>4</v>
      </c>
      <c r="D13" s="10" t="str">
        <f t="shared" si="0"/>
        <v>ケミホタル75レッド(2本入り) ｜ 1F釣具部屋【04】 ｜ K</v>
      </c>
      <c r="E13" s="11" t="str">
        <f t="shared" si="1"/>
        <v>1F釣具部屋</v>
      </c>
      <c r="F13" s="12" t="s">
        <v>21</v>
      </c>
      <c r="G13" s="11" t="str">
        <f t="shared" si="2"/>
        <v>04・1F釣具部屋K</v>
      </c>
      <c r="H13" s="3"/>
    </row>
    <row r="14" spans="1:13" ht="15" customHeight="1" x14ac:dyDescent="0.2">
      <c r="A14" s="10" t="s">
        <v>321</v>
      </c>
      <c r="B14" s="10" t="str">
        <f>IFERROR(
    INDEX([1]FSHIP!B:B,MATCH(A14,[1]FSHIP!A:A,0)),
    IFERROR(
        INDEX([1]釣具商品ship!B:B,MATCH(A14,[1]釣具商品ship!A:A,0)),
        IFERROR(
            INDEX([1]玩具商品ship!B:B,MATCH(A14,[1]玩具商品ship!A:A,0)),
            IFERROR(
                INDEX([1]OEMship!B:B,MATCH(A14,[1]OEMship!A:A,0)),
                IFERROR(
                    INDEX([1]NV6ship!B:B,MATCH(A14,[1]NV6ship!A:A,0)),
                    IFERROR(
                        INDEX([1]NVship!B:B,MATCH(A14,[1]NVship!A:A,0)),
                        IFERROR(
                            INDEX([1]海ship!B:B,MATCH(A14,[1]海ship!A:A,0)),
                            IFERROR(
                                INDEX([1]ｾﾚship!B:B,MATCH(A14,[1]ｾﾚship!A:A,0)),
                                IFERROR(
                                    INDEX([1]ｾﾚﾓﾆｰ商品ship!B:B,MATCH(A14,[1]ｾﾚﾓﾆｰ商品ship!A:A,0)),
                                    INDEX([2]NV!D:D,MATCH(A14,[2]NV!C:C,0))
                                )
                            )
                        )
                    )
                )
            )
        )
    )
)</f>
        <v>ケミホタル75イエロー(2本入) 3枚ｾｯﾄ</v>
      </c>
      <c r="C14" s="4" t="s">
        <v>2</v>
      </c>
      <c r="D14" s="10" t="str">
        <f t="shared" si="0"/>
        <v>ケミホタル75イエロー(2本入) 3枚ｾｯﾄ ｜ 1F釣具部屋【04】 ｜ M</v>
      </c>
      <c r="E14" s="11" t="str">
        <f t="shared" si="1"/>
        <v>1F釣具部屋</v>
      </c>
      <c r="F14" s="12" t="s">
        <v>21</v>
      </c>
      <c r="G14" s="11" t="str">
        <f t="shared" si="2"/>
        <v>04・1F釣具部屋M</v>
      </c>
      <c r="H14" s="3"/>
    </row>
    <row r="15" spans="1:13" ht="15" customHeight="1" x14ac:dyDescent="0.2">
      <c r="A15" s="10" t="s">
        <v>218</v>
      </c>
      <c r="B15" s="10" t="str">
        <f>IFERROR(
    INDEX([1]FSHIP!B:B,MATCH(A15,[1]FSHIP!A:A,0)),
    IFERROR(
        INDEX([1]釣具商品ship!B:B,MATCH(A15,[1]釣具商品ship!A:A,0)),
        IFERROR(
            INDEX([1]玩具商品ship!B:B,MATCH(A15,[1]玩具商品ship!A:A,0)),
            IFERROR(
                INDEX([1]OEMship!B:B,MATCH(A15,[1]OEMship!A:A,0)),
                IFERROR(
                    INDEX([1]NV6ship!B:B,MATCH(A15,[1]NV6ship!A:A,0)),
                    IFERROR(
                        INDEX([1]NVship!B:B,MATCH(A15,[1]NVship!A:A,0)),
                        IFERROR(
                            INDEX([1]海ship!B:B,MATCH(A15,[1]海ship!A:A,0)),
                            IFERROR(
                                INDEX([1]ｾﾚship!B:B,MATCH(A15,[1]ｾﾚship!A:A,0)),
                                IFERROR(
                                    INDEX([1]ｾﾚﾓﾆｰ商品ship!B:B,MATCH(A15,[1]ｾﾚﾓﾆｰ商品ship!A:A,0)),
                                    INDEX([2]NV!D:D,MATCH(A15,[2]NV!C:C,0))
                                )
                            )
                        )
                    )
                )
            )
        )
    )
)</f>
        <v>ケミホタル１００</v>
      </c>
      <c r="C15" s="4" t="s">
        <v>8</v>
      </c>
      <c r="D15" s="10" t="str">
        <f t="shared" si="0"/>
        <v>ケミホタル１００ ｜ 1F釣具部屋【04】 ｜ I</v>
      </c>
      <c r="E15" s="11" t="str">
        <f t="shared" si="1"/>
        <v>1F釣具部屋</v>
      </c>
      <c r="F15" s="12" t="s">
        <v>21</v>
      </c>
      <c r="G15" s="11" t="str">
        <f t="shared" si="2"/>
        <v>04・1F釣具部屋I</v>
      </c>
      <c r="H15" s="3"/>
    </row>
    <row r="16" spans="1:13" ht="15" customHeight="1" x14ac:dyDescent="0.2">
      <c r="A16" s="10" t="s">
        <v>220</v>
      </c>
      <c r="B16" s="10" t="str">
        <f>IFERROR(
    INDEX([1]FSHIP!B:B,MATCH(A16,[1]FSHIP!A:A,0)),
    IFERROR(
        INDEX([1]釣具商品ship!B:B,MATCH(A16,[1]釣具商品ship!A:A,0)),
        IFERROR(
            INDEX([1]玩具商品ship!B:B,MATCH(A16,[1]玩具商品ship!A:A,0)),
            IFERROR(
                INDEX([1]OEMship!B:B,MATCH(A16,[1]OEMship!A:A,0)),
                IFERROR(
                    INDEX([1]NV6ship!B:B,MATCH(A16,[1]NV6ship!A:A,0)),
                    IFERROR(
                        INDEX([1]NVship!B:B,MATCH(A16,[1]NVship!A:A,0)),
                        IFERROR(
                            INDEX([1]海ship!B:B,MATCH(A16,[1]海ship!A:A,0)),
                            IFERROR(
                                INDEX([1]ｾﾚship!B:B,MATCH(A16,[1]ｾﾚship!A:A,0)),
                                IFERROR(
                                    INDEX([1]ｾﾚﾓﾆｰ商品ship!B:B,MATCH(A16,[1]ｾﾚﾓﾆｰ商品ship!A:A,0)),
                                    INDEX([2]NV!D:D,MATCH(A16,[2]NV!C:C,0))
                                )
                            )
                        )
                    )
                )
            )
        )
    )
)</f>
        <v>ケミホタル１２０</v>
      </c>
      <c r="C16" s="4" t="s">
        <v>8</v>
      </c>
      <c r="D16" s="10" t="str">
        <f t="shared" si="0"/>
        <v>ケミホタル１２０ ｜ 1F釣具部屋【04】 ｜ I</v>
      </c>
      <c r="E16" s="11" t="str">
        <f t="shared" si="1"/>
        <v>1F釣具部屋</v>
      </c>
      <c r="F16" s="12" t="s">
        <v>21</v>
      </c>
      <c r="G16" s="11" t="str">
        <f t="shared" si="2"/>
        <v>04・1F釣具部屋I</v>
      </c>
      <c r="H16" s="3"/>
    </row>
    <row r="17" spans="1:8" ht="15" customHeight="1" x14ac:dyDescent="0.2">
      <c r="A17" s="10" t="s">
        <v>237</v>
      </c>
      <c r="B17" s="10" t="str">
        <f>IFERROR(
    INDEX([1]FSHIP!B:B,MATCH(A17,[1]FSHIP!A:A,0)),
    IFERROR(
        INDEX([1]釣具商品ship!B:B,MATCH(A17,[1]釣具商品ship!A:A,0)),
        IFERROR(
            INDEX([1]玩具商品ship!B:B,MATCH(A17,[1]玩具商品ship!A:A,0)),
            IFERROR(
                INDEX([1]OEMship!B:B,MATCH(A17,[1]OEMship!A:A,0)),
                IFERROR(
                    INDEX([1]NV6ship!B:B,MATCH(A17,[1]NV6ship!A:A,0)),
                    IFERROR(
                        INDEX([1]NVship!B:B,MATCH(A17,[1]NVship!A:A,0)),
                        IFERROR(
                            INDEX([1]海ship!B:B,MATCH(A17,[1]海ship!A:A,0)),
                            IFERROR(
                                INDEX([1]ｾﾚship!B:B,MATCH(A17,[1]ｾﾚship!A:A,0)),
                                IFERROR(
                                    INDEX([1]ｾﾚﾓﾆｰ商品ship!B:B,MATCH(A17,[1]ｾﾚﾓﾆｰ商品ship!A:A,0)),
                                    INDEX([2]NV!D:D,MATCH(A17,[2]NV!C:C,0))
                                )
                            )
                        )
                    )
                )
            )
        )
    )
)</f>
        <v>からまんホタル（小）</v>
      </c>
      <c r="C17" s="4" t="s">
        <v>6</v>
      </c>
      <c r="D17" s="10" t="str">
        <f t="shared" si="0"/>
        <v>からまんホタル（小） ｜ 1F釣具部屋【04】 ｜ J</v>
      </c>
      <c r="E17" s="11" t="str">
        <f t="shared" si="1"/>
        <v>1F釣具部屋</v>
      </c>
      <c r="F17" s="12" t="s">
        <v>21</v>
      </c>
      <c r="G17" s="11" t="str">
        <f t="shared" si="2"/>
        <v>04・1F釣具部屋J</v>
      </c>
      <c r="H17" s="3"/>
    </row>
    <row r="18" spans="1:8" ht="15" customHeight="1" x14ac:dyDescent="0.2">
      <c r="A18" s="10" t="s">
        <v>238</v>
      </c>
      <c r="B18" s="10" t="str">
        <f>IFERROR(
    INDEX([1]FSHIP!B:B,MATCH(A18,[1]FSHIP!A:A,0)),
    IFERROR(
        INDEX([1]釣具商品ship!B:B,MATCH(A18,[1]釣具商品ship!A:A,0)),
        IFERROR(
            INDEX([1]玩具商品ship!B:B,MATCH(A18,[1]玩具商品ship!A:A,0)),
            IFERROR(
                INDEX([1]OEMship!B:B,MATCH(A18,[1]OEMship!A:A,0)),
                IFERROR(
                    INDEX([1]NV6ship!B:B,MATCH(A18,[1]NV6ship!A:A,0)),
                    IFERROR(
                        INDEX([1]NVship!B:B,MATCH(A18,[1]NVship!A:A,0)),
                        IFERROR(
                            INDEX([1]海ship!B:B,MATCH(A18,[1]海ship!A:A,0)),
                            IFERROR(
                                INDEX([1]ｾﾚship!B:B,MATCH(A18,[1]ｾﾚship!A:A,0)),
                                IFERROR(
                                    INDEX([1]ｾﾚﾓﾆｰ商品ship!B:B,MATCH(A18,[1]ｾﾚﾓﾆｰ商品ship!A:A,0)),
                                    INDEX([2]NV!D:D,MATCH(A18,[2]NV!C:C,0))
                                )
                            )
                        )
                    )
                )
            )
        )
    )
)</f>
        <v>からまんホタル（中）</v>
      </c>
      <c r="C18" s="4" t="s">
        <v>6</v>
      </c>
      <c r="D18" s="10" t="str">
        <f t="shared" si="0"/>
        <v>からまんホタル（中） ｜ 1F釣具部屋【04】 ｜ J</v>
      </c>
      <c r="E18" s="11" t="str">
        <f t="shared" si="1"/>
        <v>1F釣具部屋</v>
      </c>
      <c r="F18" s="12" t="s">
        <v>21</v>
      </c>
      <c r="G18" s="11" t="str">
        <f t="shared" si="2"/>
        <v>04・1F釣具部屋J</v>
      </c>
      <c r="H18" s="3"/>
    </row>
    <row r="19" spans="1:8" ht="15" customHeight="1" x14ac:dyDescent="0.2">
      <c r="A19" s="10" t="s">
        <v>225</v>
      </c>
      <c r="B19" s="10" t="str">
        <f>IFERROR(
    INDEX([1]FSHIP!B:B,MATCH(A19,[1]FSHIP!A:A,0)),
    IFERROR(
        INDEX([1]釣具商品ship!B:B,MATCH(A19,[1]釣具商品ship!A:A,0)),
        IFERROR(
            INDEX([1]玩具商品ship!B:B,MATCH(A19,[1]玩具商品ship!A:A,0)),
            IFERROR(
                INDEX([1]OEMship!B:B,MATCH(A19,[1]OEMship!A:A,0)),
                IFERROR(
                    INDEX([1]NV6ship!B:B,MATCH(A19,[1]NV6ship!A:A,0)),
                    IFERROR(
                        INDEX([1]NVship!B:B,MATCH(A19,[1]NVship!A:A,0)),
                        IFERROR(
                            INDEX([1]海ship!B:B,MATCH(A19,[1]海ship!A:A,0)),
                            IFERROR(
                                INDEX([1]ｾﾚship!B:B,MATCH(A19,[1]ｾﾚship!A:A,0)),
                                IFERROR(
                                    INDEX([1]ｾﾚﾓﾆｰ商品ship!B:B,MATCH(A19,[1]ｾﾚﾓﾆｰ商品ship!A:A,0)),
                                    INDEX([2]NV!D:D,MATCH(A19,[2]NV!C:C,0))
                                )
                            )
                        )
                    )
                )
            )
        )
    )
)</f>
        <v>ちもとホタル</v>
      </c>
      <c r="C19" s="4" t="s">
        <v>6</v>
      </c>
      <c r="D19" s="10" t="str">
        <f t="shared" si="0"/>
        <v>ちもとホタル ｜ 1F釣具部屋【04】 ｜ J</v>
      </c>
      <c r="E19" s="11" t="str">
        <f t="shared" si="1"/>
        <v>1F釣具部屋</v>
      </c>
      <c r="F19" s="12" t="s">
        <v>21</v>
      </c>
      <c r="G19" s="11" t="str">
        <f t="shared" si="2"/>
        <v>04・1F釣具部屋J</v>
      </c>
      <c r="H19" s="3"/>
    </row>
    <row r="20" spans="1:8" ht="15" customHeight="1" x14ac:dyDescent="0.2">
      <c r="A20" s="10" t="s">
        <v>224</v>
      </c>
      <c r="B20" s="10" t="str">
        <f>IFERROR(
    INDEX([1]FSHIP!B:B,MATCH(A20,[1]FSHIP!A:A,0)),
    IFERROR(
        INDEX([1]釣具商品ship!B:B,MATCH(A20,[1]釣具商品ship!A:A,0)),
        IFERROR(
            INDEX([1]玩具商品ship!B:B,MATCH(A20,[1]玩具商品ship!A:A,0)),
            IFERROR(
                INDEX([1]OEMship!B:B,MATCH(A20,[1]OEMship!A:A,0)),
                IFERROR(
                    INDEX([1]NV6ship!B:B,MATCH(A20,[1]NV6ship!A:A,0)),
                    IFERROR(
                        INDEX([1]NVship!B:B,MATCH(A20,[1]NVship!A:A,0)),
                        IFERROR(
                            INDEX([1]海ship!B:B,MATCH(A20,[1]海ship!A:A,0)),
                            IFERROR(
                                INDEX([1]ｾﾚship!B:B,MATCH(A20,[1]ｾﾚship!A:A,0)),
                                IFERROR(
                                    INDEX([1]ｾﾚﾓﾆｰ商品ship!B:B,MATCH(A20,[1]ｾﾚﾓﾆｰ商品ship!A:A,0)),
                                    INDEX([2]NV!D:D,MATCH(A20,[2]NV!C:C,0))
                                )
                            )
                        )
                    )
                )
            )
        )
    )
)</f>
        <v>ピタホタル</v>
      </c>
      <c r="C20" s="4" t="s">
        <v>6</v>
      </c>
      <c r="D20" s="10" t="str">
        <f t="shared" si="0"/>
        <v>ピタホタル ｜ 1F釣具部屋【04】 ｜ J</v>
      </c>
      <c r="E20" s="11" t="str">
        <f t="shared" si="1"/>
        <v>1F釣具部屋</v>
      </c>
      <c r="F20" s="12" t="s">
        <v>21</v>
      </c>
      <c r="G20" s="11" t="str">
        <f t="shared" si="2"/>
        <v>04・1F釣具部屋J</v>
      </c>
      <c r="H20" s="3"/>
    </row>
    <row r="21" spans="1:8" ht="15" customHeight="1" x14ac:dyDescent="0.2">
      <c r="A21" s="10" t="s">
        <v>196</v>
      </c>
      <c r="B21" s="10" t="str">
        <f>IFERROR(
    INDEX([1]FSHIP!B:B,MATCH(A21,[1]FSHIP!A:A,0)),
    IFERROR(
        INDEX([1]釣具商品ship!B:B,MATCH(A21,[1]釣具商品ship!A:A,0)),
        IFERROR(
            INDEX([1]玩具商品ship!B:B,MATCH(A21,[1]玩具商品ship!A:A,0)),
            IFERROR(
                INDEX([1]OEMship!B:B,MATCH(A21,[1]OEMship!A:A,0)),
                IFERROR(
                    INDEX([1]NV6ship!B:B,MATCH(A21,[1]NV6ship!A:A,0)),
                    IFERROR(
                        INDEX([1]NVship!B:B,MATCH(A21,[1]NVship!A:A,0)),
                        IFERROR(
                            INDEX([1]海ship!B:B,MATCH(A21,[1]海ship!A:A,0)),
                            IFERROR(
                                INDEX([1]ｾﾚship!B:B,MATCH(A21,[1]ｾﾚship!A:A,0)),
                                IFERROR(
                                    INDEX([1]ｾﾚﾓﾆｰ商品ship!B:B,MATCH(A21,[1]ｾﾚﾓﾆｰ商品ship!A:A,0)),
                                    INDEX([2]NV!D:D,MATCH(A21,[2]NV!C:C,0))
                                )
                            )
                        )
                    )
                )
            )
        )
    )
)</f>
        <v>アジホタル</v>
      </c>
      <c r="C21" s="4" t="s">
        <v>12</v>
      </c>
      <c r="D21" s="10" t="str">
        <f t="shared" si="0"/>
        <v>アジホタル ｜ 1F釣具部屋【04】 ｜ G</v>
      </c>
      <c r="E21" s="11" t="str">
        <f t="shared" si="1"/>
        <v>1F釣具部屋</v>
      </c>
      <c r="F21" s="12" t="s">
        <v>21</v>
      </c>
      <c r="G21" s="11" t="str">
        <f t="shared" si="2"/>
        <v>04・1F釣具部屋G</v>
      </c>
      <c r="H21" s="3"/>
    </row>
    <row r="22" spans="1:8" ht="15" customHeight="1" x14ac:dyDescent="0.2">
      <c r="A22" s="10" t="s">
        <v>195</v>
      </c>
      <c r="B22" s="10" t="str">
        <f>IFERROR(
    INDEX([1]FSHIP!B:B,MATCH(A22,[1]FSHIP!A:A,0)),
    IFERROR(
        INDEX([1]釣具商品ship!B:B,MATCH(A22,[1]釣具商品ship!A:A,0)),
        IFERROR(
            INDEX([1]玩具商品ship!B:B,MATCH(A22,[1]玩具商品ship!A:A,0)),
            IFERROR(
                INDEX([1]OEMship!B:B,MATCH(A22,[1]OEMship!A:A,0)),
                IFERROR(
                    INDEX([1]NV6ship!B:B,MATCH(A22,[1]NV6ship!A:A,0)),
                    IFERROR(
                        INDEX([1]NVship!B:B,MATCH(A22,[1]NVship!A:A,0)),
                        IFERROR(
                            INDEX([1]海ship!B:B,MATCH(A22,[1]海ship!A:A,0)),
                            IFERROR(
                                INDEX([1]ｾﾚship!B:B,MATCH(A22,[1]ｾﾚship!A:A,0)),
                                IFERROR(
                                    INDEX([1]ｾﾚﾓﾆｰ商品ship!B:B,MATCH(A22,[1]ｾﾚﾓﾆｰ商品ship!A:A,0)),
                                    INDEX([2]NV!D:D,MATCH(A22,[2]NV!C:C,0))
                                )
                            )
                        )
                    )
                )
            )
        )
    )
)</f>
        <v>アジホタル ブルー</v>
      </c>
      <c r="C22" s="4" t="s">
        <v>12</v>
      </c>
      <c r="D22" s="10" t="str">
        <f t="shared" si="0"/>
        <v>アジホタル ブルー ｜ 1F釣具部屋【04】 ｜ G</v>
      </c>
      <c r="E22" s="11" t="str">
        <f t="shared" si="1"/>
        <v>1F釣具部屋</v>
      </c>
      <c r="F22" s="12" t="s">
        <v>21</v>
      </c>
      <c r="G22" s="11" t="str">
        <f t="shared" si="2"/>
        <v>04・1F釣具部屋G</v>
      </c>
      <c r="H22" s="3"/>
    </row>
    <row r="23" spans="1:8" ht="15" customHeight="1" x14ac:dyDescent="0.2">
      <c r="A23" s="10" t="s">
        <v>194</v>
      </c>
      <c r="B23" s="10" t="str">
        <f>IFERROR(
    INDEX([1]FSHIP!B:B,MATCH(A23,[1]FSHIP!A:A,0)),
    IFERROR(
        INDEX([1]釣具商品ship!B:B,MATCH(A23,[1]釣具商品ship!A:A,0)),
        IFERROR(
            INDEX([1]玩具商品ship!B:B,MATCH(A23,[1]玩具商品ship!A:A,0)),
            IFERROR(
                INDEX([1]OEMship!B:B,MATCH(A23,[1]OEMship!A:A,0)),
                IFERROR(
                    INDEX([1]NV6ship!B:B,MATCH(A23,[1]NV6ship!A:A,0)),
                    IFERROR(
                        INDEX([1]NVship!B:B,MATCH(A23,[1]NVship!A:A,0)),
                        IFERROR(
                            INDEX([1]海ship!B:B,MATCH(A23,[1]海ship!A:A,0)),
                            IFERROR(
                                INDEX([1]ｾﾚship!B:B,MATCH(A23,[1]ｾﾚship!A:A,0)),
                                IFERROR(
                                    INDEX([1]ｾﾚﾓﾆｰ商品ship!B:B,MATCH(A23,[1]ｾﾚﾓﾆｰ商品ship!A:A,0)),
                                    INDEX([2]NV!D:D,MATCH(A23,[2]NV!C:C,0))
                                )
                            )
                        )
                    )
                )
            )
        )
    )
)</f>
        <v>アジホタル　バイオレット</v>
      </c>
      <c r="C23" s="4" t="s">
        <v>12</v>
      </c>
      <c r="D23" s="10" t="str">
        <f t="shared" si="0"/>
        <v>アジホタル　バイオレット ｜ 1F釣具部屋【04】 ｜ G</v>
      </c>
      <c r="E23" s="11" t="str">
        <f t="shared" si="1"/>
        <v>1F釣具部屋</v>
      </c>
      <c r="F23" s="12" t="s">
        <v>21</v>
      </c>
      <c r="G23" s="11" t="str">
        <f t="shared" si="2"/>
        <v>04・1F釣具部屋G</v>
      </c>
      <c r="H23" s="3"/>
    </row>
    <row r="24" spans="1:8" ht="15" customHeight="1" x14ac:dyDescent="0.2">
      <c r="A24" s="10" t="s">
        <v>908</v>
      </c>
      <c r="B24" s="10" t="str">
        <f>IFERROR(
    INDEX([1]FSHIP!B:B,MATCH(A24,[1]FSHIP!A:A,0)),
    IFERROR(
        INDEX([1]釣具商品ship!B:B,MATCH(A24,[1]釣具商品ship!A:A,0)),
        IFERROR(
            INDEX([1]玩具商品ship!B:B,MATCH(A24,[1]玩具商品ship!A:A,0)),
            IFERROR(
                INDEX([1]OEMship!B:B,MATCH(A24,[1]OEMship!A:A,0)),
                IFERROR(
                    INDEX([1]NV6ship!B:B,MATCH(A24,[1]NV6ship!A:A,0)),
                    IFERROR(
                        INDEX([1]NVship!B:B,MATCH(A24,[1]NVship!A:A,0)),
                        IFERROR(
                            INDEX([1]海ship!B:B,MATCH(A24,[1]海ship!A:A,0)),
                            IFERROR(
                                INDEX([1]ｾﾚship!B:B,MATCH(A24,[1]ｾﾚship!A:A,0)),
                                IFERROR(
                                    INDEX([1]ｾﾚﾓﾆｰ商品ship!B:B,MATCH(A24,[1]ｾﾚﾓﾆｰ商品ship!A:A,0)),
                                    INDEX([2]NV!D:D,MATCH(A24,[2]NV!C:C,0))
                                )
                            )
                        )
                    )
                )
            )
        )
    )
)</f>
        <v>アジホタル　レッド</v>
      </c>
      <c r="C24" s="4" t="s">
        <v>12</v>
      </c>
      <c r="D24" s="10" t="str">
        <f t="shared" si="0"/>
        <v>アジホタル　レッド ｜ 1F釣具部屋【04】 ｜ G</v>
      </c>
      <c r="E24" s="11" t="str">
        <f t="shared" si="1"/>
        <v>1F釣具部屋</v>
      </c>
      <c r="F24" s="12" t="s">
        <v>907</v>
      </c>
      <c r="G24" s="11" t="str">
        <f t="shared" si="2"/>
        <v>04・1F釣具部屋G</v>
      </c>
      <c r="H24" s="3"/>
    </row>
    <row r="25" spans="1:8" ht="15" customHeight="1" x14ac:dyDescent="0.2">
      <c r="A25" s="10" t="s">
        <v>569</v>
      </c>
      <c r="B25" s="10" t="str">
        <f>IFERROR(
    INDEX([1]FSHIP!B:B,MATCH(A25,[1]FSHIP!A:A,0)),
    IFERROR(
        INDEX([1]釣具商品ship!B:B,MATCH(A25,[1]釣具商品ship!A:A,0)),
        IFERROR(
            INDEX([1]玩具商品ship!B:B,MATCH(A25,[1]玩具商品ship!A:A,0)),
            IFERROR(
                INDEX([1]OEMship!B:B,MATCH(A25,[1]OEMship!A:A,0)),
                IFERROR(
                    INDEX([1]NV6ship!B:B,MATCH(A25,[1]NV6ship!A:A,0)),
                    IFERROR(
                        INDEX([1]NVship!B:B,MATCH(A25,[1]NVship!A:A,0)),
                        IFERROR(
                            INDEX([1]海ship!B:B,MATCH(A25,[1]海ship!A:A,0)),
                            IFERROR(
                                INDEX([1]ｾﾚship!B:B,MATCH(A25,[1]ｾﾚship!A:A,0)),
                                IFERROR(
                                    INDEX([1]ｾﾚﾓﾆｰ商品ship!B:B,MATCH(A25,[1]ｾﾚﾓﾆｰ商品ship!A:A,0)),
                                    INDEX([2]NV!D:D,MATCH(A25,[2]NV!C:C,0))
                                )
                            )
                        )
                    )
                )
            )
        )
    )
)</f>
        <v>ケミチューン　ワインドグリーン</v>
      </c>
      <c r="C25" s="4" t="s">
        <v>570</v>
      </c>
      <c r="D25" s="10" t="str">
        <f t="shared" si="0"/>
        <v>ケミチューン　ワインドグリーン ｜ 1F釣具部屋【04】 ｜ J</v>
      </c>
      <c r="E25" s="11" t="str">
        <f t="shared" si="1"/>
        <v>1F釣具部屋</v>
      </c>
      <c r="F25" s="12" t="s">
        <v>571</v>
      </c>
      <c r="G25" s="11" t="str">
        <f t="shared" si="2"/>
        <v>04・1F釣具部屋J</v>
      </c>
      <c r="H25" s="3"/>
    </row>
    <row r="26" spans="1:8" ht="15" customHeight="1" x14ac:dyDescent="0.2">
      <c r="A26" s="10" t="s">
        <v>193</v>
      </c>
      <c r="B26" s="10" t="str">
        <f>IFERROR(
    INDEX([1]FSHIP!B:B,MATCH(A26,[1]FSHIP!A:A,0)),
    IFERROR(
        INDEX([1]釣具商品ship!B:B,MATCH(A26,[1]釣具商品ship!A:A,0)),
        IFERROR(
            INDEX([1]玩具商品ship!B:B,MATCH(A26,[1]玩具商品ship!A:A,0)),
            IFERROR(
                INDEX([1]OEMship!B:B,MATCH(A26,[1]OEMship!A:A,0)),
                IFERROR(
                    INDEX([1]NV6ship!B:B,MATCH(A26,[1]NV6ship!A:A,0)),
                    IFERROR(
                        INDEX([1]NVship!B:B,MATCH(A26,[1]NVship!A:A,0)),
                        IFERROR(
                            INDEX([1]海ship!B:B,MATCH(A26,[1]海ship!A:A,0)),
                            IFERROR(
                                INDEX([1]ｾﾚship!B:B,MATCH(A26,[1]ｾﾚship!A:A,0)),
                                IFERROR(
                                    INDEX([1]ｾﾚﾓﾆｰ商品ship!B:B,MATCH(A26,[1]ｾﾚﾓﾆｰ商品ship!A:A,0)),
                                    INDEX([2]NV!D:D,MATCH(A26,[2]NV!C:C,0))
                                )
                            )
                        )
                    )
                )
            )
        )
    )
)</f>
        <v>ケミホタル　Ｘ－２５</v>
      </c>
      <c r="C26" s="4" t="s">
        <v>10</v>
      </c>
      <c r="D26" s="10" t="str">
        <f t="shared" si="0"/>
        <v>ケミホタル　Ｘ－２５ ｜ 1F釣具部屋【04】 ｜ H</v>
      </c>
      <c r="E26" s="11" t="str">
        <f t="shared" si="1"/>
        <v>1F釣具部屋</v>
      </c>
      <c r="F26" s="12" t="s">
        <v>21</v>
      </c>
      <c r="G26" s="11" t="str">
        <f t="shared" si="2"/>
        <v>04・1F釣具部屋H</v>
      </c>
      <c r="H26" s="3"/>
    </row>
    <row r="27" spans="1:8" ht="15" customHeight="1" x14ac:dyDescent="0.2">
      <c r="A27" s="10" t="s">
        <v>200</v>
      </c>
      <c r="B27" s="10" t="str">
        <f>IFERROR(
    INDEX([1]FSHIP!B:B,MATCH(A27,[1]FSHIP!A:A,0)),
    IFERROR(
        INDEX([1]釣具商品ship!B:B,MATCH(A27,[1]釣具商品ship!A:A,0)),
        IFERROR(
            INDEX([1]玩具商品ship!B:B,MATCH(A27,[1]玩具商品ship!A:A,0)),
            IFERROR(
                INDEX([1]OEMship!B:B,MATCH(A27,[1]OEMship!A:A,0)),
                IFERROR(
                    INDEX([1]NV6ship!B:B,MATCH(A27,[1]NV6ship!A:A,0)),
                    IFERROR(
                        INDEX([1]NVship!B:B,MATCH(A27,[1]NVship!A:A,0)),
                        IFERROR(
                            INDEX([1]海ship!B:B,MATCH(A27,[1]海ship!A:A,0)),
                            IFERROR(
                                INDEX([1]ｾﾚship!B:B,MATCH(A27,[1]ｾﾚship!A:A,0)),
                                IFERROR(
                                    INDEX([1]ｾﾚﾓﾆｰ商品ship!B:B,MATCH(A27,[1]ｾﾚﾓﾆｰ商品ship!A:A,0)),
                                    INDEX([2]NV!D:D,MATCH(A27,[2]NV!C:C,0))
                                )
                            )
                        )
                    )
                )
            )
        )
    )
)</f>
        <v>ウミホタル　ミニ　２本入</v>
      </c>
      <c r="C27" s="4" t="s">
        <v>12</v>
      </c>
      <c r="D27" s="10" t="str">
        <f t="shared" si="0"/>
        <v>ウミホタル　ミニ　２本入 ｜ 1F釣具部屋【04】 ｜ G</v>
      </c>
      <c r="E27" s="11" t="str">
        <f t="shared" si="1"/>
        <v>1F釣具部屋</v>
      </c>
      <c r="F27" s="12" t="s">
        <v>21</v>
      </c>
      <c r="G27" s="11" t="str">
        <f t="shared" si="2"/>
        <v>04・1F釣具部屋G</v>
      </c>
      <c r="H27" s="3"/>
    </row>
    <row r="28" spans="1:8" ht="15" customHeight="1" x14ac:dyDescent="0.2">
      <c r="A28" s="10" t="s">
        <v>199</v>
      </c>
      <c r="B28" s="10" t="str">
        <f>IFERROR(
    INDEX([1]FSHIP!B:B,MATCH(A28,[1]FSHIP!A:A,0)),
    IFERROR(
        INDEX([1]釣具商品ship!B:B,MATCH(A28,[1]釣具商品ship!A:A,0)),
        IFERROR(
            INDEX([1]玩具商品ship!B:B,MATCH(A28,[1]玩具商品ship!A:A,0)),
            IFERROR(
                INDEX([1]OEMship!B:B,MATCH(A28,[1]OEMship!A:A,0)),
                IFERROR(
                    INDEX([1]NV6ship!B:B,MATCH(A28,[1]NV6ship!A:A,0)),
                    IFERROR(
                        INDEX([1]NVship!B:B,MATCH(A28,[1]NVship!A:A,0)),
                        IFERROR(
                            INDEX([1]海ship!B:B,MATCH(A28,[1]海ship!A:A,0)),
                            IFERROR(
                                INDEX([1]ｾﾚship!B:B,MATCH(A28,[1]ｾﾚship!A:A,0)),
                                IFERROR(
                                    INDEX([1]ｾﾚﾓﾆｰ商品ship!B:B,MATCH(A28,[1]ｾﾚﾓﾆｰ商品ship!A:A,0)),
                                    INDEX([2]NV!D:D,MATCH(A28,[2]NV!C:C,0))
                                )
                            )
                        )
                    )
                )
            )
        )
    )
)</f>
        <v>ウミホタル　レギュラー　１本入</v>
      </c>
      <c r="C28" s="4" t="s">
        <v>12</v>
      </c>
      <c r="D28" s="10" t="str">
        <f t="shared" si="0"/>
        <v>ウミホタル　レギュラー　１本入 ｜ 1F釣具部屋【04】 ｜ G</v>
      </c>
      <c r="E28" s="11" t="str">
        <f t="shared" si="1"/>
        <v>1F釣具部屋</v>
      </c>
      <c r="F28" s="12" t="s">
        <v>21</v>
      </c>
      <c r="G28" s="11" t="str">
        <f t="shared" si="2"/>
        <v>04・1F釣具部屋G</v>
      </c>
      <c r="H28" s="3"/>
    </row>
    <row r="29" spans="1:8" ht="15" customHeight="1" x14ac:dyDescent="0.2">
      <c r="A29" s="10" t="s">
        <v>198</v>
      </c>
      <c r="B29" s="10" t="str">
        <f>IFERROR(
    INDEX([1]FSHIP!B:B,MATCH(A29,[1]FSHIP!A:A,0)),
    IFERROR(
        INDEX([1]釣具商品ship!B:B,MATCH(A29,[1]釣具商品ship!A:A,0)),
        IFERROR(
            INDEX([1]玩具商品ship!B:B,MATCH(A29,[1]玩具商品ship!A:A,0)),
            IFERROR(
                INDEX([1]OEMship!B:B,MATCH(A29,[1]OEMship!A:A,0)),
                IFERROR(
                    INDEX([1]NV6ship!B:B,MATCH(A29,[1]NV6ship!A:A,0)),
                    IFERROR(
                        INDEX([1]NVship!B:B,MATCH(A29,[1]NVship!A:A,0)),
                        IFERROR(
                            INDEX([1]海ship!B:B,MATCH(A29,[1]海ship!A:A,0)),
                            IFERROR(
                                INDEX([1]ｾﾚship!B:B,MATCH(A29,[1]ｾﾚship!A:A,0)),
                                IFERROR(
                                    INDEX([1]ｾﾚﾓﾆｰ商品ship!B:B,MATCH(A29,[1]ｾﾚﾓﾆｰ商品ship!A:A,0)),
                                    INDEX([2]NV!D:D,MATCH(A29,[2]NV!C:C,0))
                                )
                            )
                        )
                    )
                )
            )
        )
    )
)</f>
        <v>ウミホタル　ビッグ　１本入</v>
      </c>
      <c r="C29" s="4" t="s">
        <v>12</v>
      </c>
      <c r="D29" s="10" t="str">
        <f t="shared" si="0"/>
        <v>ウミホタル　ビッグ　１本入 ｜ 1F釣具部屋【04】 ｜ G</v>
      </c>
      <c r="E29" s="11" t="str">
        <f t="shared" si="1"/>
        <v>1F釣具部屋</v>
      </c>
      <c r="F29" s="12" t="s">
        <v>21</v>
      </c>
      <c r="G29" s="11" t="str">
        <f t="shared" si="2"/>
        <v>04・1F釣具部屋G</v>
      </c>
      <c r="H29" s="3"/>
    </row>
    <row r="30" spans="1:8" ht="15" customHeight="1" x14ac:dyDescent="0.2">
      <c r="A30" s="10" t="s">
        <v>197</v>
      </c>
      <c r="B30" s="10" t="str">
        <f>IFERROR(
    INDEX([1]FSHIP!B:B,MATCH(A30,[1]FSHIP!A:A,0)),
    IFERROR(
        INDEX([1]釣具商品ship!B:B,MATCH(A30,[1]釣具商品ship!A:A,0)),
        IFERROR(
            INDEX([1]玩具商品ship!B:B,MATCH(A30,[1]玩具商品ship!A:A,0)),
            IFERROR(
                INDEX([1]OEMship!B:B,MATCH(A30,[1]OEMship!A:A,0)),
                IFERROR(
                    INDEX([1]NV6ship!B:B,MATCH(A30,[1]NV6ship!A:A,0)),
                    IFERROR(
                        INDEX([1]NVship!B:B,MATCH(A30,[1]NVship!A:A,0)),
                        IFERROR(
                            INDEX([1]海ship!B:B,MATCH(A30,[1]海ship!A:A,0)),
                            IFERROR(
                                INDEX([1]ｾﾚship!B:B,MATCH(A30,[1]ｾﾚship!A:A,0)),
                                IFERROR(
                                    INDEX([1]ｾﾚﾓﾆｰ商品ship!B:B,MATCH(A30,[1]ｾﾚﾓﾆｰ商品ship!A:A,0)),
                                    INDEX([2]NV!D:D,MATCH(A30,[2]NV!C:C,0))
                                )
                            )
                        )
                    )
                )
            )
        )
    )
)</f>
        <v>ウミホタル　ビッグブルー</v>
      </c>
      <c r="C30" s="4" t="s">
        <v>10</v>
      </c>
      <c r="D30" s="10" t="str">
        <f t="shared" si="0"/>
        <v>ウミホタル　ビッグブルー ｜ 1F釣具部屋【04】 ｜ H</v>
      </c>
      <c r="E30" s="11" t="str">
        <f t="shared" si="1"/>
        <v>1F釣具部屋</v>
      </c>
      <c r="F30" s="12" t="s">
        <v>21</v>
      </c>
      <c r="G30" s="11" t="str">
        <f t="shared" si="2"/>
        <v>04・1F釣具部屋H</v>
      </c>
      <c r="H30" s="3"/>
    </row>
    <row r="31" spans="1:8" ht="15" customHeight="1" x14ac:dyDescent="0.2">
      <c r="A31" s="10" t="s">
        <v>179</v>
      </c>
      <c r="B31" s="10" t="str">
        <f>IFERROR(
    INDEX([1]FSHIP!B:B,MATCH(A31,[1]FSHIP!A:A,0)),
    IFERROR(
        INDEX([1]釣具商品ship!B:B,MATCH(A31,[1]釣具商品ship!A:A,0)),
        IFERROR(
            INDEX([1]玩具商品ship!B:B,MATCH(A31,[1]玩具商品ship!A:A,0)),
            IFERROR(
                INDEX([1]OEMship!B:B,MATCH(A31,[1]OEMship!A:A,0)),
                IFERROR(
                    INDEX([1]NV6ship!B:B,MATCH(A31,[1]NV6ship!A:A,0)),
                    IFERROR(
                        INDEX([1]NVship!B:B,MATCH(A31,[1]NVship!A:A,0)),
                        IFERROR(
                            INDEX([1]海ship!B:B,MATCH(A31,[1]海ship!A:A,0)),
                            IFERROR(
                                INDEX([1]ｾﾚship!B:B,MATCH(A31,[1]ｾﾚship!A:A,0)),
                                IFERROR(
                                    INDEX([1]ｾﾚﾓﾆｰ商品ship!B:B,MATCH(A31,[1]ｾﾚﾓﾆｰ商品ship!A:A,0)),
                                    INDEX([2]NV!D:D,MATCH(A31,[2]NV!C:C,0))
                                )
                            )
                        )
                    )
                )
            )
        )
    )
)</f>
        <v>デンケミⅡ37　グリーン</v>
      </c>
      <c r="C31" s="4" t="s">
        <v>12</v>
      </c>
      <c r="D31" s="10" t="str">
        <f t="shared" si="0"/>
        <v>デンケミⅡ37　グリーン ｜ 1F釣具部屋【04】 ｜ G</v>
      </c>
      <c r="E31" s="11" t="str">
        <f t="shared" si="1"/>
        <v>1F釣具部屋</v>
      </c>
      <c r="F31" s="12" t="s">
        <v>21</v>
      </c>
      <c r="G31" s="11" t="str">
        <f t="shared" si="2"/>
        <v>04・1F釣具部屋G</v>
      </c>
      <c r="H31" s="3"/>
    </row>
    <row r="32" spans="1:8" ht="15" customHeight="1" x14ac:dyDescent="0.2">
      <c r="A32" s="10" t="s">
        <v>180</v>
      </c>
      <c r="B32" s="10" t="str">
        <f>IFERROR(
    INDEX([1]FSHIP!B:B,MATCH(A32,[1]FSHIP!A:A,0)),
    IFERROR(
        INDEX([1]釣具商品ship!B:B,MATCH(A32,[1]釣具商品ship!A:A,0)),
        IFERROR(
            INDEX([1]玩具商品ship!B:B,MATCH(A32,[1]玩具商品ship!A:A,0)),
            IFERROR(
                INDEX([1]OEMship!B:B,MATCH(A32,[1]OEMship!A:A,0)),
                IFERROR(
                    INDEX([1]NV6ship!B:B,MATCH(A32,[1]NV6ship!A:A,0)),
                    IFERROR(
                        INDEX([1]NVship!B:B,MATCH(A32,[1]NVship!A:A,0)),
                        IFERROR(
                            INDEX([1]海ship!B:B,MATCH(A32,[1]海ship!A:A,0)),
                            IFERROR(
                                INDEX([1]ｾﾚship!B:B,MATCH(A32,[1]ｾﾚship!A:A,0)),
                                IFERROR(
                                    INDEX([1]ｾﾚﾓﾆｰ商品ship!B:B,MATCH(A32,[1]ｾﾚﾓﾆｰ商品ship!A:A,0)),
                                    INDEX([2]NV!D:D,MATCH(A32,[2]NV!C:C,0))
                                )
                            )
                        )
                    )
                )
            )
        )
    )
)</f>
        <v>デンケミⅡ37　レッド</v>
      </c>
      <c r="C32" s="4" t="s">
        <v>12</v>
      </c>
      <c r="D32" s="10" t="str">
        <f t="shared" si="0"/>
        <v>デンケミⅡ37　レッド ｜ 1F釣具部屋【04】 ｜ G</v>
      </c>
      <c r="E32" s="11" t="str">
        <f t="shared" si="1"/>
        <v>1F釣具部屋</v>
      </c>
      <c r="F32" s="12" t="s">
        <v>21</v>
      </c>
      <c r="G32" s="11" t="str">
        <f t="shared" si="2"/>
        <v>04・1F釣具部屋G</v>
      </c>
      <c r="H32" s="3"/>
    </row>
    <row r="33" spans="1:8" ht="15" customHeight="1" x14ac:dyDescent="0.2">
      <c r="A33" s="10" t="s">
        <v>181</v>
      </c>
      <c r="B33" s="10" t="str">
        <f>IFERROR(
    INDEX([1]FSHIP!B:B,MATCH(A33,[1]FSHIP!A:A,0)),
    IFERROR(
        INDEX([1]釣具商品ship!B:B,MATCH(A33,[1]釣具商品ship!A:A,0)),
        IFERROR(
            INDEX([1]玩具商品ship!B:B,MATCH(A33,[1]玩具商品ship!A:A,0)),
            IFERROR(
                INDEX([1]OEMship!B:B,MATCH(A33,[1]OEMship!A:A,0)),
                IFERROR(
                    INDEX([1]NV6ship!B:B,MATCH(A33,[1]NV6ship!A:A,0)),
                    IFERROR(
                        INDEX([1]NVship!B:B,MATCH(A33,[1]NVship!A:A,0)),
                        IFERROR(
                            INDEX([1]海ship!B:B,MATCH(A33,[1]海ship!A:A,0)),
                            IFERROR(
                                INDEX([1]ｾﾚship!B:B,MATCH(A33,[1]ｾﾚship!A:A,0)),
                                IFERROR(
                                    INDEX([1]ｾﾚﾓﾆｰ商品ship!B:B,MATCH(A33,[1]ｾﾚﾓﾆｰ商品ship!A:A,0)),
                                    INDEX([2]NV!D:D,MATCH(A33,[2]NV!C:C,0))
                                )
                            )
                        )
                    )
                )
            )
        )
    )
)</f>
        <v>デンケミⅡ50　グリーン</v>
      </c>
      <c r="C33" s="4" t="s">
        <v>12</v>
      </c>
      <c r="D33" s="10" t="str">
        <f t="shared" si="0"/>
        <v>デンケミⅡ50　グリーン ｜ 1F釣具部屋【04】 ｜ G</v>
      </c>
      <c r="E33" s="11" t="str">
        <f t="shared" si="1"/>
        <v>1F釣具部屋</v>
      </c>
      <c r="F33" s="12" t="s">
        <v>21</v>
      </c>
      <c r="G33" s="11" t="str">
        <f t="shared" si="2"/>
        <v>04・1F釣具部屋G</v>
      </c>
      <c r="H33" s="3"/>
    </row>
    <row r="34" spans="1:8" ht="15" customHeight="1" x14ac:dyDescent="0.2">
      <c r="A34" s="10" t="s">
        <v>182</v>
      </c>
      <c r="B34" s="10" t="str">
        <f>IFERROR(
    INDEX([1]FSHIP!B:B,MATCH(A34,[1]FSHIP!A:A,0)),
    IFERROR(
        INDEX([1]釣具商品ship!B:B,MATCH(A34,[1]釣具商品ship!A:A,0)),
        IFERROR(
            INDEX([1]玩具商品ship!B:B,MATCH(A34,[1]玩具商品ship!A:A,0)),
            IFERROR(
                INDEX([1]OEMship!B:B,MATCH(A34,[1]OEMship!A:A,0)),
                IFERROR(
                    INDEX([1]NV6ship!B:B,MATCH(A34,[1]NV6ship!A:A,0)),
                    IFERROR(
                        INDEX([1]NVship!B:B,MATCH(A34,[1]NVship!A:A,0)),
                        IFERROR(
                            INDEX([1]海ship!B:B,MATCH(A34,[1]海ship!A:A,0)),
                            IFERROR(
                                INDEX([1]ｾﾚship!B:B,MATCH(A34,[1]ｾﾚship!A:A,0)),
                                IFERROR(
                                    INDEX([1]ｾﾚﾓﾆｰ商品ship!B:B,MATCH(A34,[1]ｾﾚﾓﾆｰ商品ship!A:A,0)),
                                    INDEX([2]NV!D:D,MATCH(A34,[2]NV!C:C,0))
                                )
                            )
                        )
                    )
                )
            )
        )
    )
)</f>
        <v>デンケミⅡ50　レッド</v>
      </c>
      <c r="C34" s="4" t="s">
        <v>12</v>
      </c>
      <c r="D34" s="10" t="str">
        <f t="shared" si="0"/>
        <v>デンケミⅡ50　レッド ｜ 1F釣具部屋【04】 ｜ G</v>
      </c>
      <c r="E34" s="11" t="str">
        <f t="shared" si="1"/>
        <v>1F釣具部屋</v>
      </c>
      <c r="F34" s="12" t="s">
        <v>21</v>
      </c>
      <c r="G34" s="11" t="str">
        <f t="shared" si="2"/>
        <v>04・1F釣具部屋G</v>
      </c>
      <c r="H34" s="3"/>
    </row>
    <row r="35" spans="1:8" ht="15" customHeight="1" x14ac:dyDescent="0.2">
      <c r="A35" s="10" t="s">
        <v>183</v>
      </c>
      <c r="B35" s="10" t="str">
        <f>IFERROR(
    INDEX([1]FSHIP!B:B,MATCH(A35,[1]FSHIP!A:A,0)),
    IFERROR(
        INDEX([1]釣具商品ship!B:B,MATCH(A35,[1]釣具商品ship!A:A,0)),
        IFERROR(
            INDEX([1]玩具商品ship!B:B,MATCH(A35,[1]玩具商品ship!A:A,0)),
            IFERROR(
                INDEX([1]OEMship!B:B,MATCH(A35,[1]OEMship!A:A,0)),
                IFERROR(
                    INDEX([1]NV6ship!B:B,MATCH(A35,[1]NV6ship!A:A,0)),
                    IFERROR(
                        INDEX([1]NVship!B:B,MATCH(A35,[1]NVship!A:A,0)),
                        IFERROR(
                            INDEX([1]海ship!B:B,MATCH(A35,[1]海ship!A:A,0)),
                            IFERROR(
                                INDEX([1]ｾﾚship!B:B,MATCH(A35,[1]ｾﾚship!A:A,0)),
                                IFERROR(
                                    INDEX([1]ｾﾚﾓﾆｰ商品ship!B:B,MATCH(A35,[1]ｾﾚﾓﾆｰ商品ship!A:A,0)),
                                    INDEX([2]NV!D:D,MATCH(A35,[2]NV!C:C,0))
                                )
                            )
                        )
                    )
                )
            )
        )
    )
)</f>
        <v>デンケミⅡ75　グリーン</v>
      </c>
      <c r="C35" s="4" t="s">
        <v>12</v>
      </c>
      <c r="D35" s="10" t="str">
        <f t="shared" si="0"/>
        <v>デンケミⅡ75　グリーン ｜ 1F釣具部屋【04】 ｜ G</v>
      </c>
      <c r="E35" s="11" t="str">
        <f t="shared" si="1"/>
        <v>1F釣具部屋</v>
      </c>
      <c r="F35" s="12" t="s">
        <v>21</v>
      </c>
      <c r="G35" s="11" t="str">
        <f t="shared" si="2"/>
        <v>04・1F釣具部屋G</v>
      </c>
      <c r="H35" s="3"/>
    </row>
    <row r="36" spans="1:8" ht="15" customHeight="1" x14ac:dyDescent="0.2">
      <c r="A36" s="10" t="s">
        <v>184</v>
      </c>
      <c r="B36" s="10" t="str">
        <f>IFERROR(
    INDEX([1]FSHIP!B:B,MATCH(A36,[1]FSHIP!A:A,0)),
    IFERROR(
        INDEX([1]釣具商品ship!B:B,MATCH(A36,[1]釣具商品ship!A:A,0)),
        IFERROR(
            INDEX([1]玩具商品ship!B:B,MATCH(A36,[1]玩具商品ship!A:A,0)),
            IFERROR(
                INDEX([1]OEMship!B:B,MATCH(A36,[1]OEMship!A:A,0)),
                IFERROR(
                    INDEX([1]NV6ship!B:B,MATCH(A36,[1]NV6ship!A:A,0)),
                    IFERROR(
                        INDEX([1]NVship!B:B,MATCH(A36,[1]NVship!A:A,0)),
                        IFERROR(
                            INDEX([1]海ship!B:B,MATCH(A36,[1]海ship!A:A,0)),
                            IFERROR(
                                INDEX([1]ｾﾚship!B:B,MATCH(A36,[1]ｾﾚship!A:A,0)),
                                IFERROR(
                                    INDEX([1]ｾﾚﾓﾆｰ商品ship!B:B,MATCH(A36,[1]ｾﾚﾓﾆｰ商品ship!A:A,0)),
                                    INDEX([2]NV!D:D,MATCH(A36,[2]NV!C:C,0))
                                )
                            )
                        )
                    )
                )
            )
        )
    )
)</f>
        <v>デンケミⅡ75　レッド</v>
      </c>
      <c r="C36" s="4" t="s">
        <v>12</v>
      </c>
      <c r="D36" s="10" t="str">
        <f t="shared" si="0"/>
        <v>デンケミⅡ75　レッド ｜ 1F釣具部屋【04】 ｜ G</v>
      </c>
      <c r="E36" s="11" t="str">
        <f t="shared" si="1"/>
        <v>1F釣具部屋</v>
      </c>
      <c r="F36" s="12" t="s">
        <v>21</v>
      </c>
      <c r="G36" s="11" t="str">
        <f t="shared" si="2"/>
        <v>04・1F釣具部屋G</v>
      </c>
      <c r="H36" s="3"/>
    </row>
    <row r="37" spans="1:8" ht="15" customHeight="1" x14ac:dyDescent="0.2">
      <c r="A37" s="10" t="s">
        <v>206</v>
      </c>
      <c r="B37" s="10" t="str">
        <f>IFERROR(
    INDEX([1]FSHIP!B:B,MATCH(A37,[1]FSHIP!A:A,0)),
    IFERROR(
        INDEX([1]釣具商品ship!B:B,MATCH(A37,[1]釣具商品ship!A:A,0)),
        IFERROR(
            INDEX([1]玩具商品ship!B:B,MATCH(A37,[1]玩具商品ship!A:A,0)),
            IFERROR(
                INDEX([1]OEMship!B:B,MATCH(A37,[1]OEMship!A:A,0)),
                IFERROR(
                    INDEX([1]NV6ship!B:B,MATCH(A37,[1]NV6ship!A:A,0)),
                    IFERROR(
                        INDEX([1]NVship!B:B,MATCH(A37,[1]NVship!A:A,0)),
                        IFERROR(
                            INDEX([1]海ship!B:B,MATCH(A37,[1]海ship!A:A,0)),
                            IFERROR(
                                INDEX([1]ｾﾚship!B:B,MATCH(A37,[1]ｾﾚship!A:A,0)),
                                IFERROR(
                                    INDEX([1]ｾﾚﾓﾆｰ商品ship!B:B,MATCH(A37,[1]ｾﾚﾓﾆｰ商品ship!A:A,0)),
                                    INDEX([2]NV!D:D,MATCH(A37,[2]NV!C:C,0))
                                )
                            )
                        )
                    )
                )
            )
        )
    )
)</f>
        <v>ぎょぎょライトLEDⅡグリーンM</v>
      </c>
      <c r="C37" s="4" t="s">
        <v>8</v>
      </c>
      <c r="D37" s="10" t="str">
        <f t="shared" si="0"/>
        <v>ぎょぎょライトLEDⅡグリーンM ｜ 1F釣具部屋【04】 ｜ I</v>
      </c>
      <c r="E37" s="11" t="str">
        <f t="shared" si="1"/>
        <v>1F釣具部屋</v>
      </c>
      <c r="F37" s="12" t="s">
        <v>21</v>
      </c>
      <c r="G37" s="11" t="str">
        <f t="shared" si="2"/>
        <v>04・1F釣具部屋I</v>
      </c>
      <c r="H37" s="3"/>
    </row>
    <row r="38" spans="1:8" ht="15" customHeight="1" x14ac:dyDescent="0.2">
      <c r="A38" s="10" t="s">
        <v>203</v>
      </c>
      <c r="B38" s="10" t="str">
        <f>IFERROR(
    INDEX([1]FSHIP!B:B,MATCH(A38,[1]FSHIP!A:A,0)),
    IFERROR(
        INDEX([1]釣具商品ship!B:B,MATCH(A38,[1]釣具商品ship!A:A,0)),
        IFERROR(
            INDEX([1]玩具商品ship!B:B,MATCH(A38,[1]玩具商品ship!A:A,0)),
            IFERROR(
                INDEX([1]OEMship!B:B,MATCH(A38,[1]OEMship!A:A,0)),
                IFERROR(
                    INDEX([1]NV6ship!B:B,MATCH(A38,[1]NV6ship!A:A,0)),
                    IFERROR(
                        INDEX([1]NVship!B:B,MATCH(A38,[1]NVship!A:A,0)),
                        IFERROR(
                            INDEX([1]海ship!B:B,MATCH(A38,[1]海ship!A:A,0)),
                            IFERROR(
                                INDEX([1]ｾﾚship!B:B,MATCH(A38,[1]ｾﾚship!A:A,0)),
                                IFERROR(
                                    INDEX([1]ｾﾚﾓﾆｰ商品ship!B:B,MATCH(A38,[1]ｾﾚﾓﾆｰ商品ship!A:A,0)),
                                    INDEX([2]NV!D:D,MATCH(A38,[2]NV!C:C,0))
                                )
                            )
                        )
                    )
                )
            )
        )
    )
)</f>
        <v>ぎょぎょライトLEDⅡグリーンL</v>
      </c>
      <c r="C38" s="4" t="s">
        <v>8</v>
      </c>
      <c r="D38" s="10" t="str">
        <f t="shared" si="0"/>
        <v>ぎょぎょライトLEDⅡグリーンL ｜ 1F釣具部屋【04】 ｜ I</v>
      </c>
      <c r="E38" s="11" t="str">
        <f t="shared" si="1"/>
        <v>1F釣具部屋</v>
      </c>
      <c r="F38" s="12" t="s">
        <v>21</v>
      </c>
      <c r="G38" s="11" t="str">
        <f t="shared" si="2"/>
        <v>04・1F釣具部屋I</v>
      </c>
      <c r="H38" s="3"/>
    </row>
    <row r="39" spans="1:8" ht="15" customHeight="1" x14ac:dyDescent="0.2">
      <c r="A39" s="10" t="s">
        <v>204</v>
      </c>
      <c r="B39" s="10" t="str">
        <f>IFERROR(
    INDEX([1]FSHIP!B:B,MATCH(A39,[1]FSHIP!A:A,0)),
    IFERROR(
        INDEX([1]釣具商品ship!B:B,MATCH(A39,[1]釣具商品ship!A:A,0)),
        IFERROR(
            INDEX([1]玩具商品ship!B:B,MATCH(A39,[1]玩具商品ship!A:A,0)),
            IFERROR(
                INDEX([1]OEMship!B:B,MATCH(A39,[1]OEMship!A:A,0)),
                IFERROR(
                    INDEX([1]NV6ship!B:B,MATCH(A39,[1]NV6ship!A:A,0)),
                    IFERROR(
                        INDEX([1]NVship!B:B,MATCH(A39,[1]NVship!A:A,0)),
                        IFERROR(
                            INDEX([1]海ship!B:B,MATCH(A39,[1]海ship!A:A,0)),
                            IFERROR(
                                INDEX([1]ｾﾚship!B:B,MATCH(A39,[1]ｾﾚship!A:A,0)),
                                IFERROR(
                                    INDEX([1]ｾﾚﾓﾆｰ商品ship!B:B,MATCH(A39,[1]ｾﾚﾓﾆｰ商品ship!A:A,0)),
                                    INDEX([2]NV!D:D,MATCH(A39,[2]NV!C:C,0))
                                )
                            )
                        )
                    )
                )
            )
        )
    )
)</f>
        <v>ぎょぎょライトLEDⅡレッドM</v>
      </c>
      <c r="C39" s="4" t="s">
        <v>8</v>
      </c>
      <c r="D39" s="10" t="str">
        <f t="shared" si="0"/>
        <v>ぎょぎょライトLEDⅡレッドM ｜ 1F釣具部屋【04】 ｜ I</v>
      </c>
      <c r="E39" s="11" t="str">
        <f t="shared" si="1"/>
        <v>1F釣具部屋</v>
      </c>
      <c r="F39" s="12" t="s">
        <v>21</v>
      </c>
      <c r="G39" s="11" t="str">
        <f t="shared" si="2"/>
        <v>04・1F釣具部屋I</v>
      </c>
      <c r="H39" s="3"/>
    </row>
    <row r="40" spans="1:8" ht="15" customHeight="1" x14ac:dyDescent="0.2">
      <c r="A40" s="10" t="s">
        <v>205</v>
      </c>
      <c r="B40" s="10" t="str">
        <f>IFERROR(
    INDEX([1]FSHIP!B:B,MATCH(A40,[1]FSHIP!A:A,0)),
    IFERROR(
        INDEX([1]釣具商品ship!B:B,MATCH(A40,[1]釣具商品ship!A:A,0)),
        IFERROR(
            INDEX([1]玩具商品ship!B:B,MATCH(A40,[1]玩具商品ship!A:A,0)),
            IFERROR(
                INDEX([1]OEMship!B:B,MATCH(A40,[1]OEMship!A:A,0)),
                IFERROR(
                    INDEX([1]NV6ship!B:B,MATCH(A40,[1]NV6ship!A:A,0)),
                    IFERROR(
                        INDEX([1]NVship!B:B,MATCH(A40,[1]NVship!A:A,0)),
                        IFERROR(
                            INDEX([1]海ship!B:B,MATCH(A40,[1]海ship!A:A,0)),
                            IFERROR(
                                INDEX([1]ｾﾚship!B:B,MATCH(A40,[1]ｾﾚship!A:A,0)),
                                IFERROR(
                                    INDEX([1]ｾﾚﾓﾆｰ商品ship!B:B,MATCH(A40,[1]ｾﾚﾓﾆｰ商品ship!A:A,0)),
                                    INDEX([2]NV!D:D,MATCH(A40,[2]NV!C:C,0))
                                )
                            )
                        )
                    )
                )
            )
        )
    )
)</f>
        <v>ぎょぎょライトLEDⅡレッドL</v>
      </c>
      <c r="C40" s="4" t="s">
        <v>8</v>
      </c>
      <c r="D40" s="10" t="str">
        <f t="shared" si="0"/>
        <v>ぎょぎょライトLEDⅡレッドL ｜ 1F釣具部屋【04】 ｜ I</v>
      </c>
      <c r="E40" s="11" t="str">
        <f t="shared" si="1"/>
        <v>1F釣具部屋</v>
      </c>
      <c r="F40" s="12" t="s">
        <v>21</v>
      </c>
      <c r="G40" s="11" t="str">
        <f t="shared" si="2"/>
        <v>04・1F釣具部屋I</v>
      </c>
      <c r="H40" s="3"/>
    </row>
    <row r="41" spans="1:8" ht="15" customHeight="1" x14ac:dyDescent="0.2">
      <c r="A41" s="10" t="s">
        <v>221</v>
      </c>
      <c r="B41" s="10" t="str">
        <f>IFERROR(
    INDEX([1]FSHIP!B:B,MATCH(A41,[1]FSHIP!A:A,0)),
    IFERROR(
        INDEX([1]釣具商品ship!B:B,MATCH(A41,[1]釣具商品ship!A:A,0)),
        IFERROR(
            INDEX([1]玩具商品ship!B:B,MATCH(A41,[1]玩具商品ship!A:A,0)),
            IFERROR(
                INDEX([1]OEMship!B:B,MATCH(A41,[1]OEMship!A:A,0)),
                IFERROR(
                    INDEX([1]NV6ship!B:B,MATCH(A41,[1]NV6ship!A:A,0)),
                    IFERROR(
                        INDEX([1]NVship!B:B,MATCH(A41,[1]NVship!A:A,0)),
                        IFERROR(
                            INDEX([1]海ship!B:B,MATCH(A41,[1]海ship!A:A,0)),
                            IFERROR(
                                INDEX([1]ｾﾚship!B:B,MATCH(A41,[1]ｾﾚship!A:A,0)),
                                IFERROR(
                                    INDEX([1]ｾﾚﾓﾆｰ商品ship!B:B,MATCH(A41,[1]ｾﾚﾓﾆｰ商品ship!A:A,0)),
                                    INDEX([2]NV!D:D,MATCH(A41,[2]NV!C:C,0))
                                )
                            )
                        )
                    )
                )
            )
        )
    )
)</f>
        <v>ぎょぎょﾗｲﾄ３７(2本入)</v>
      </c>
      <c r="C41" s="4" t="s">
        <v>8</v>
      </c>
      <c r="D41" s="10" t="str">
        <f t="shared" si="0"/>
        <v>ぎょぎょﾗｲﾄ３７(2本入) ｜ 1F釣具部屋【04】 ｜ I</v>
      </c>
      <c r="E41" s="11" t="str">
        <f t="shared" si="1"/>
        <v>1F釣具部屋</v>
      </c>
      <c r="F41" s="12" t="s">
        <v>21</v>
      </c>
      <c r="G41" s="11" t="str">
        <f t="shared" si="2"/>
        <v>04・1F釣具部屋I</v>
      </c>
      <c r="H41" s="3"/>
    </row>
    <row r="42" spans="1:8" ht="15" customHeight="1" x14ac:dyDescent="0.2">
      <c r="A42" s="10" t="s">
        <v>221</v>
      </c>
      <c r="B42" s="10" t="str">
        <f>IFERROR(
    INDEX([1]FSHIP!B:B,MATCH(A42,[1]FSHIP!A:A,0)),
    IFERROR(
        INDEX([1]釣具商品ship!B:B,MATCH(A42,[1]釣具商品ship!A:A,0)),
        IFERROR(
            INDEX([1]玩具商品ship!B:B,MATCH(A42,[1]玩具商品ship!A:A,0)),
            IFERROR(
                INDEX([1]OEMship!B:B,MATCH(A42,[1]OEMship!A:A,0)),
                IFERROR(
                    INDEX([1]NV6ship!B:B,MATCH(A42,[1]NV6ship!A:A,0)),
                    IFERROR(
                        INDEX([1]NVship!B:B,MATCH(A42,[1]NVship!A:A,0)),
                        IFERROR(
                            INDEX([1]海ship!B:B,MATCH(A42,[1]海ship!A:A,0)),
                            IFERROR(
                                INDEX([1]ｾﾚship!B:B,MATCH(A42,[1]ｾﾚship!A:A,0)),
                                IFERROR(
                                    INDEX([1]ｾﾚﾓﾆｰ商品ship!B:B,MATCH(A42,[1]ｾﾚﾓﾆｰ商品ship!A:A,0)),
                                    INDEX([2]NV!D:D,MATCH(A42,[2]NV!C:C,0))
                                )
                            )
                        )
                    )
                )
            )
        )
    )
)</f>
        <v>ぎょぎょﾗｲﾄ３７(2本入)</v>
      </c>
      <c r="C42" s="4" t="s">
        <v>8</v>
      </c>
      <c r="D42" s="10" t="str">
        <f t="shared" si="0"/>
        <v>ぎょぎょﾗｲﾄ３７(2本入) ｜ 1F釣具部屋【04】 ｜ I</v>
      </c>
      <c r="E42" s="11" t="str">
        <f t="shared" si="1"/>
        <v>1F釣具部屋</v>
      </c>
      <c r="F42" s="12" t="s">
        <v>21</v>
      </c>
      <c r="G42" s="11" t="str">
        <f t="shared" si="2"/>
        <v>04・1F釣具部屋I</v>
      </c>
      <c r="H42" s="3"/>
    </row>
    <row r="43" spans="1:8" ht="15" customHeight="1" x14ac:dyDescent="0.2">
      <c r="A43" s="10" t="s">
        <v>236</v>
      </c>
      <c r="B43" s="10" t="str">
        <f>IFERROR(
    INDEX([1]FSHIP!B:B,MATCH(A43,[1]FSHIP!A:A,0)),
    IFERROR(
        INDEX([1]釣具商品ship!B:B,MATCH(A43,[1]釣具商品ship!A:A,0)),
        IFERROR(
            INDEX([1]玩具商品ship!B:B,MATCH(A43,[1]玩具商品ship!A:A,0)),
            IFERROR(
                INDEX([1]OEMship!B:B,MATCH(A43,[1]OEMship!A:A,0)),
                IFERROR(
                    INDEX([1]NV6ship!B:B,MATCH(A43,[1]NV6ship!A:A,0)),
                    IFERROR(
                        INDEX([1]NVship!B:B,MATCH(A43,[1]NVship!A:A,0)),
                        IFERROR(
                            INDEX([1]海ship!B:B,MATCH(A43,[1]海ship!A:A,0)),
                            IFERROR(
                                INDEX([1]ｾﾚship!B:B,MATCH(A43,[1]ｾﾚship!A:A,0)),
                                IFERROR(
                                    INDEX([1]ｾﾚﾓﾆｰ商品ship!B:B,MATCH(A43,[1]ｾﾚﾓﾆｰ商品ship!A:A,0)),
                                    INDEX([2]NV!D:D,MATCH(A43,[2]NV!C:C,0))
                                )
                            )
                        )
                    )
                )
            )
        )
    )
)</f>
        <v>ぎょぎょﾗｲﾄﾜﾝﾀｯﾁＳＳ</v>
      </c>
      <c r="C43" s="4" t="s">
        <v>6</v>
      </c>
      <c r="D43" s="10" t="str">
        <f t="shared" si="0"/>
        <v>ぎょぎょﾗｲﾄﾜﾝﾀｯﾁＳＳ ｜ 1F釣具部屋【04】 ｜ J</v>
      </c>
      <c r="E43" s="11" t="str">
        <f t="shared" si="1"/>
        <v>1F釣具部屋</v>
      </c>
      <c r="F43" s="12" t="s">
        <v>21</v>
      </c>
      <c r="G43" s="11" t="str">
        <f t="shared" si="2"/>
        <v>04・1F釣具部屋J</v>
      </c>
      <c r="H43" s="3"/>
    </row>
    <row r="44" spans="1:8" ht="15" customHeight="1" x14ac:dyDescent="0.2">
      <c r="A44" s="10" t="s">
        <v>38</v>
      </c>
      <c r="B44" s="10" t="str">
        <f>IFERROR(
    INDEX([1]FSHIP!B:B,MATCH(A44,[1]FSHIP!A:A,0)),
    IFERROR(
        INDEX([1]釣具商品ship!B:B,MATCH(A44,[1]釣具商品ship!A:A,0)),
        IFERROR(
            INDEX([1]玩具商品ship!B:B,MATCH(A44,[1]玩具商品ship!A:A,0)),
            IFERROR(
                INDEX([1]OEMship!B:B,MATCH(A44,[1]OEMship!A:A,0)),
                IFERROR(
                    INDEX([1]NV6ship!B:B,MATCH(A44,[1]NV6ship!A:A,0)),
                    IFERROR(
                        INDEX([1]NVship!B:B,MATCH(A44,[1]NVship!A:A,0)),
                        IFERROR(
                            INDEX([1]海ship!B:B,MATCH(A44,[1]海ship!A:A,0)),
                            IFERROR(
                                INDEX([1]ｾﾚship!B:B,MATCH(A44,[1]ｾﾚship!A:A,0)),
                                IFERROR(
                                    INDEX([1]ｾﾚﾓﾆｰ商品ship!B:B,MATCH(A44,[1]ｾﾚﾓﾆｰ商品ship!A:A,0)),
                                    INDEX([2]NV!D:D,MATCH(A44,[2]NV!C:C,0))
                                )
                            )
                        )
                    )
                )
            )
        )
    )
)</f>
        <v>ぎょぎょﾗｲﾄﾜﾝﾀｯﾁ Ｓ</v>
      </c>
      <c r="C44" s="4" t="s">
        <v>9</v>
      </c>
      <c r="D44" s="10" t="str">
        <f t="shared" si="0"/>
        <v>ぎょぎょﾗｲﾄﾜﾝﾀｯﾁ Ｓ ｜ 1F釣具部屋【04】 ｜ B</v>
      </c>
      <c r="E44" s="11" t="str">
        <f t="shared" si="1"/>
        <v>1F釣具部屋</v>
      </c>
      <c r="F44" s="12" t="s">
        <v>21</v>
      </c>
      <c r="G44" s="11" t="str">
        <f t="shared" si="2"/>
        <v>04・1F釣具部屋B</v>
      </c>
      <c r="H44" s="3"/>
    </row>
    <row r="45" spans="1:8" ht="15" customHeight="1" x14ac:dyDescent="0.2">
      <c r="A45" s="10" t="s">
        <v>39</v>
      </c>
      <c r="B45" s="10" t="str">
        <f>IFERROR(
    INDEX([1]FSHIP!B:B,MATCH(A45,[1]FSHIP!A:A,0)),
    IFERROR(
        INDEX([1]釣具商品ship!B:B,MATCH(A45,[1]釣具商品ship!A:A,0)),
        IFERROR(
            INDEX([1]玩具商品ship!B:B,MATCH(A45,[1]玩具商品ship!A:A,0)),
            IFERROR(
                INDEX([1]OEMship!B:B,MATCH(A45,[1]OEMship!A:A,0)),
                IFERROR(
                    INDEX([1]NV6ship!B:B,MATCH(A45,[1]NV6ship!A:A,0)),
                    IFERROR(
                        INDEX([1]NVship!B:B,MATCH(A45,[1]NVship!A:A,0)),
                        IFERROR(
                            INDEX([1]海ship!B:B,MATCH(A45,[1]海ship!A:A,0)),
                            IFERROR(
                                INDEX([1]ｾﾚship!B:B,MATCH(A45,[1]ｾﾚship!A:A,0)),
                                IFERROR(
                                    INDEX([1]ｾﾚﾓﾆｰ商品ship!B:B,MATCH(A45,[1]ｾﾚﾓﾆｰ商品ship!A:A,0)),
                                    INDEX([2]NV!D:D,MATCH(A45,[2]NV!C:C,0))
                                )
                            )
                        )
                    )
                )
            )
        )
    )
)</f>
        <v>ぎょぎょﾗｲﾄﾜﾝﾀｯﾁ Ｓ（3枚ｾｯﾄ）</v>
      </c>
      <c r="C45" s="4" t="s">
        <v>9</v>
      </c>
      <c r="D45" s="10" t="str">
        <f t="shared" si="0"/>
        <v>ぎょぎょﾗｲﾄﾜﾝﾀｯﾁ Ｓ（3枚ｾｯﾄ） ｜ 1F釣具部屋【04】 ｜ B</v>
      </c>
      <c r="E45" s="11" t="str">
        <f t="shared" si="1"/>
        <v>1F釣具部屋</v>
      </c>
      <c r="F45" s="12" t="s">
        <v>21</v>
      </c>
      <c r="G45" s="11" t="str">
        <f t="shared" si="2"/>
        <v>04・1F釣具部屋B</v>
      </c>
      <c r="H45" s="3"/>
    </row>
    <row r="46" spans="1:8" ht="15" customHeight="1" x14ac:dyDescent="0.2">
      <c r="A46" s="10" t="s">
        <v>40</v>
      </c>
      <c r="B46" s="10" t="str">
        <f>IFERROR(
    INDEX([1]FSHIP!B:B,MATCH(A46,[1]FSHIP!A:A,0)),
    IFERROR(
        INDEX([1]釣具商品ship!B:B,MATCH(A46,[1]釣具商品ship!A:A,0)),
        IFERROR(
            INDEX([1]玩具商品ship!B:B,MATCH(A46,[1]玩具商品ship!A:A,0)),
            IFERROR(
                INDEX([1]OEMship!B:B,MATCH(A46,[1]OEMship!A:A,0)),
                IFERROR(
                    INDEX([1]NV6ship!B:B,MATCH(A46,[1]NV6ship!A:A,0)),
                    IFERROR(
                        INDEX([1]NVship!B:B,MATCH(A46,[1]NVship!A:A,0)),
                        IFERROR(
                            INDEX([1]海ship!B:B,MATCH(A46,[1]海ship!A:A,0)),
                            IFERROR(
                                INDEX([1]ｾﾚship!B:B,MATCH(A46,[1]ｾﾚship!A:A,0)),
                                IFERROR(
                                    INDEX([1]ｾﾚﾓﾆｰ商品ship!B:B,MATCH(A46,[1]ｾﾚﾓﾆｰ商品ship!A:A,0)),
                                    INDEX([2]NV!D:D,MATCH(A46,[2]NV!C:C,0))
                                )
                            )
                        )
                    )
                )
            )
        )
    )
)</f>
        <v>ぎょぎょﾗｲﾄﾜﾝﾀｯﾁ Ｍ</v>
      </c>
      <c r="C46" s="4" t="s">
        <v>9</v>
      </c>
      <c r="D46" s="10" t="str">
        <f t="shared" si="0"/>
        <v>ぎょぎょﾗｲﾄﾜﾝﾀｯﾁ Ｍ ｜ 1F釣具部屋【04】 ｜ B</v>
      </c>
      <c r="E46" s="11" t="str">
        <f t="shared" si="1"/>
        <v>1F釣具部屋</v>
      </c>
      <c r="F46" s="12" t="s">
        <v>21</v>
      </c>
      <c r="G46" s="11" t="str">
        <f t="shared" si="2"/>
        <v>04・1F釣具部屋B</v>
      </c>
      <c r="H46" s="3"/>
    </row>
    <row r="47" spans="1:8" ht="15" customHeight="1" x14ac:dyDescent="0.2">
      <c r="A47" s="10" t="s">
        <v>41</v>
      </c>
      <c r="B47" s="10" t="str">
        <f>IFERROR(
    INDEX([1]FSHIP!B:B,MATCH(A47,[1]FSHIP!A:A,0)),
    IFERROR(
        INDEX([1]釣具商品ship!B:B,MATCH(A47,[1]釣具商品ship!A:A,0)),
        IFERROR(
            INDEX([1]玩具商品ship!B:B,MATCH(A47,[1]玩具商品ship!A:A,0)),
            IFERROR(
                INDEX([1]OEMship!B:B,MATCH(A47,[1]OEMship!A:A,0)),
                IFERROR(
                    INDEX([1]NV6ship!B:B,MATCH(A47,[1]NV6ship!A:A,0)),
                    IFERROR(
                        INDEX([1]NVship!B:B,MATCH(A47,[1]NVship!A:A,0)),
                        IFERROR(
                            INDEX([1]海ship!B:B,MATCH(A47,[1]海ship!A:A,0)),
                            IFERROR(
                                INDEX([1]ｾﾚship!B:B,MATCH(A47,[1]ｾﾚship!A:A,0)),
                                IFERROR(
                                    INDEX([1]ｾﾚﾓﾆｰ商品ship!B:B,MATCH(A47,[1]ｾﾚﾓﾆｰ商品ship!A:A,0)),
                                    INDEX([2]NV!D:D,MATCH(A47,[2]NV!C:C,0))
                                )
                            )
                        )
                    )
                )
            )
        )
    )
)</f>
        <v>ぎょぎょﾗｲﾄﾜﾝﾀｯﾁ Ｍ（3枚ｾｯﾄ）</v>
      </c>
      <c r="C47" s="4" t="s">
        <v>9</v>
      </c>
      <c r="D47" s="10" t="str">
        <f t="shared" si="0"/>
        <v>ぎょぎょﾗｲﾄﾜﾝﾀｯﾁ Ｍ（3枚ｾｯﾄ） ｜ 1F釣具部屋【04】 ｜ B</v>
      </c>
      <c r="E47" s="11" t="str">
        <f t="shared" si="1"/>
        <v>1F釣具部屋</v>
      </c>
      <c r="F47" s="12" t="s">
        <v>21</v>
      </c>
      <c r="G47" s="11" t="str">
        <f t="shared" si="2"/>
        <v>04・1F釣具部屋B</v>
      </c>
      <c r="H47" s="3"/>
    </row>
    <row r="48" spans="1:8" ht="15" customHeight="1" x14ac:dyDescent="0.2">
      <c r="A48" s="10" t="s">
        <v>42</v>
      </c>
      <c r="B48" s="10" t="str">
        <f>IFERROR(
    INDEX([1]FSHIP!B:B,MATCH(A48,[1]FSHIP!A:A,0)),
    IFERROR(
        INDEX([1]釣具商品ship!B:B,MATCH(A48,[1]釣具商品ship!A:A,0)),
        IFERROR(
            INDEX([1]玩具商品ship!B:B,MATCH(A48,[1]玩具商品ship!A:A,0)),
            IFERROR(
                INDEX([1]OEMship!B:B,MATCH(A48,[1]OEMship!A:A,0)),
                IFERROR(
                    INDEX([1]NV6ship!B:B,MATCH(A48,[1]NV6ship!A:A,0)),
                    IFERROR(
                        INDEX([1]NVship!B:B,MATCH(A48,[1]NVship!A:A,0)),
                        IFERROR(
                            INDEX([1]海ship!B:B,MATCH(A48,[1]海ship!A:A,0)),
                            IFERROR(
                                INDEX([1]ｾﾚship!B:B,MATCH(A48,[1]ｾﾚship!A:A,0)),
                                IFERROR(
                                    INDEX([1]ｾﾚﾓﾆｰ商品ship!B:B,MATCH(A48,[1]ｾﾚﾓﾆｰ商品ship!A:A,0)),
                                    INDEX([2]NV!D:D,MATCH(A48,[2]NV!C:C,0))
                                )
                            )
                        )
                    )
                )
            )
        )
    )
)</f>
        <v>ぎょぎょﾗｲﾄﾜﾝﾀｯﾁ Ｌ</v>
      </c>
      <c r="C48" s="4" t="s">
        <v>9</v>
      </c>
      <c r="D48" s="10" t="str">
        <f t="shared" si="0"/>
        <v>ぎょぎょﾗｲﾄﾜﾝﾀｯﾁ Ｌ ｜ 1F釣具部屋【04】 ｜ B</v>
      </c>
      <c r="E48" s="11" t="str">
        <f t="shared" si="1"/>
        <v>1F釣具部屋</v>
      </c>
      <c r="F48" s="12" t="s">
        <v>21</v>
      </c>
      <c r="G48" s="11" t="str">
        <f t="shared" si="2"/>
        <v>04・1F釣具部屋B</v>
      </c>
      <c r="H48" s="3"/>
    </row>
    <row r="49" spans="1:8" ht="15" customHeight="1" x14ac:dyDescent="0.2">
      <c r="A49" s="10" t="s">
        <v>43</v>
      </c>
      <c r="B49" s="10" t="str">
        <f>IFERROR(
    INDEX([1]FSHIP!B:B,MATCH(A49,[1]FSHIP!A:A,0)),
    IFERROR(
        INDEX([1]釣具商品ship!B:B,MATCH(A49,[1]釣具商品ship!A:A,0)),
        IFERROR(
            INDEX([1]玩具商品ship!B:B,MATCH(A49,[1]玩具商品ship!A:A,0)),
            IFERROR(
                INDEX([1]OEMship!B:B,MATCH(A49,[1]OEMship!A:A,0)),
                IFERROR(
                    INDEX([1]NV6ship!B:B,MATCH(A49,[1]NV6ship!A:A,0)),
                    IFERROR(
                        INDEX([1]NVship!B:B,MATCH(A49,[1]NVship!A:A,0)),
                        IFERROR(
                            INDEX([1]海ship!B:B,MATCH(A49,[1]海ship!A:A,0)),
                            IFERROR(
                                INDEX([1]ｾﾚship!B:B,MATCH(A49,[1]ｾﾚship!A:A,0)),
                                IFERROR(
                                    INDEX([1]ｾﾚﾓﾆｰ商品ship!B:B,MATCH(A49,[1]ｾﾚﾓﾆｰ商品ship!A:A,0)),
                                    INDEX([2]NV!D:D,MATCH(A49,[2]NV!C:C,0))
                                )
                            )
                        )
                    )
                )
            )
        )
    )
)</f>
        <v>ぎょぎょﾗｲﾄﾜﾝﾀｯﾁ Ｌ（3枚ｾｯﾄ）</v>
      </c>
      <c r="C49" s="4" t="s">
        <v>9</v>
      </c>
      <c r="D49" s="10" t="str">
        <f t="shared" si="0"/>
        <v>ぎょぎょﾗｲﾄﾜﾝﾀｯﾁ Ｌ（3枚ｾｯﾄ） ｜ 1F釣具部屋【04】 ｜ B</v>
      </c>
      <c r="E49" s="11" t="str">
        <f t="shared" si="1"/>
        <v>1F釣具部屋</v>
      </c>
      <c r="F49" s="12" t="s">
        <v>21</v>
      </c>
      <c r="G49" s="11" t="str">
        <f t="shared" si="2"/>
        <v>04・1F釣具部屋B</v>
      </c>
      <c r="H49" s="3"/>
    </row>
    <row r="50" spans="1:8" ht="15" customHeight="1" x14ac:dyDescent="0.2">
      <c r="A50" s="10" t="s">
        <v>44</v>
      </c>
      <c r="B50" s="10" t="str">
        <f>IFERROR(
    INDEX([1]FSHIP!B:B,MATCH(A50,[1]FSHIP!A:A,0)),
    IFERROR(
        INDEX([1]釣具商品ship!B:B,MATCH(A50,[1]釣具商品ship!A:A,0)),
        IFERROR(
            INDEX([1]玩具商品ship!B:B,MATCH(A50,[1]玩具商品ship!A:A,0)),
            IFERROR(
                INDEX([1]OEMship!B:B,MATCH(A50,[1]OEMship!A:A,0)),
                IFERROR(
                    INDEX([1]NV6ship!B:B,MATCH(A50,[1]NV6ship!A:A,0)),
                    IFERROR(
                        INDEX([1]NVship!B:B,MATCH(A50,[1]NVship!A:A,0)),
                        IFERROR(
                            INDEX([1]海ship!B:B,MATCH(A50,[1]海ship!A:A,0)),
                            IFERROR(
                                INDEX([1]ｾﾚship!B:B,MATCH(A50,[1]ｾﾚship!A:A,0)),
                                IFERROR(
                                    INDEX([1]ｾﾚﾓﾆｰ商品ship!B:B,MATCH(A50,[1]ｾﾚﾓﾆｰ商品ship!A:A,0)),
                                    INDEX([2]NV!D:D,MATCH(A50,[2]NV!C:C,0))
                                )
                            )
                        )
                    )
                )
            )
        )
    )
)</f>
        <v>ぎょぎょﾗｲﾄﾜﾝﾀｯﾁ ＬＬ</v>
      </c>
      <c r="C50" s="4" t="s">
        <v>9</v>
      </c>
      <c r="D50" s="10" t="str">
        <f t="shared" si="0"/>
        <v>ぎょぎょﾗｲﾄﾜﾝﾀｯﾁ ＬＬ ｜ 1F釣具部屋【04】 ｜ B</v>
      </c>
      <c r="E50" s="11" t="str">
        <f t="shared" si="1"/>
        <v>1F釣具部屋</v>
      </c>
      <c r="F50" s="12" t="s">
        <v>21</v>
      </c>
      <c r="G50" s="11" t="str">
        <f t="shared" si="2"/>
        <v>04・1F釣具部屋B</v>
      </c>
      <c r="H50" s="3"/>
    </row>
    <row r="51" spans="1:8" ht="15" customHeight="1" x14ac:dyDescent="0.2">
      <c r="A51" s="10" t="s">
        <v>45</v>
      </c>
      <c r="B51" s="10" t="str">
        <f>IFERROR(
    INDEX([1]FSHIP!B:B,MATCH(A51,[1]FSHIP!A:A,0)),
    IFERROR(
        INDEX([1]釣具商品ship!B:B,MATCH(A51,[1]釣具商品ship!A:A,0)),
        IFERROR(
            INDEX([1]玩具商品ship!B:B,MATCH(A51,[1]玩具商品ship!A:A,0)),
            IFERROR(
                INDEX([1]OEMship!B:B,MATCH(A51,[1]OEMship!A:A,0)),
                IFERROR(
                    INDEX([1]NV6ship!B:B,MATCH(A51,[1]NV6ship!A:A,0)),
                    IFERROR(
                        INDEX([1]NVship!B:B,MATCH(A51,[1]NVship!A:A,0)),
                        IFERROR(
                            INDEX([1]海ship!B:B,MATCH(A51,[1]海ship!A:A,0)),
                            IFERROR(
                                INDEX([1]ｾﾚship!B:B,MATCH(A51,[1]ｾﾚship!A:A,0)),
                                IFERROR(
                                    INDEX([1]ｾﾚﾓﾆｰ商品ship!B:B,MATCH(A51,[1]ｾﾚﾓﾆｰ商品ship!A:A,0)),
                                    INDEX([2]NV!D:D,MATCH(A51,[2]NV!C:C,0))
                                )
                            )
                        )
                    )
                )
            )
        )
    )
)</f>
        <v>ぎょぎょﾗｲﾄﾜﾝﾀｯﾁ LL（3枚ｾｯﾄ）</v>
      </c>
      <c r="C51" s="4" t="s">
        <v>9</v>
      </c>
      <c r="D51" s="10" t="str">
        <f t="shared" si="0"/>
        <v>ぎょぎょﾗｲﾄﾜﾝﾀｯﾁ LL（3枚ｾｯﾄ） ｜ 1F釣具部屋【04】 ｜ B</v>
      </c>
      <c r="E51" s="11" t="str">
        <f t="shared" si="1"/>
        <v>1F釣具部屋</v>
      </c>
      <c r="F51" s="12" t="s">
        <v>21</v>
      </c>
      <c r="G51" s="11" t="str">
        <f t="shared" si="2"/>
        <v>04・1F釣具部屋B</v>
      </c>
      <c r="H51" s="3"/>
    </row>
    <row r="52" spans="1:8" ht="15" customHeight="1" x14ac:dyDescent="0.2">
      <c r="A52" s="10" t="s">
        <v>46</v>
      </c>
      <c r="B52" s="10" t="str">
        <f>IFERROR(
    INDEX([1]FSHIP!B:B,MATCH(A52,[1]FSHIP!A:A,0)),
    IFERROR(
        INDEX([1]釣具商品ship!B:B,MATCH(A52,[1]釣具商品ship!A:A,0)),
        IFERROR(
            INDEX([1]玩具商品ship!B:B,MATCH(A52,[1]玩具商品ship!A:A,0)),
            IFERROR(
                INDEX([1]OEMship!B:B,MATCH(A52,[1]OEMship!A:A,0)),
                IFERROR(
                    INDEX([1]NV6ship!B:B,MATCH(A52,[1]NV6ship!A:A,0)),
                    IFERROR(
                        INDEX([1]NVship!B:B,MATCH(A52,[1]NVship!A:A,0)),
                        IFERROR(
                            INDEX([1]海ship!B:B,MATCH(A52,[1]海ship!A:A,0)),
                            IFERROR(
                                INDEX([1]ｾﾚship!B:B,MATCH(A52,[1]ｾﾚship!A:A,0)),
                                IFERROR(
                                    INDEX([1]ｾﾚﾓﾆｰ商品ship!B:B,MATCH(A52,[1]ｾﾚﾓﾆｰ商品ship!A:A,0)),
                                    INDEX([2]NV!D:D,MATCH(A52,[2]NV!C:C,0))
                                )
                            )
                        )
                    )
                )
            )
        )
    )
)</f>
        <v>ぎょぎょﾗｲﾄﾜﾝﾀｯﾁ ３Ｌ</v>
      </c>
      <c r="C52" s="4" t="s">
        <v>9</v>
      </c>
      <c r="D52" s="10" t="str">
        <f t="shared" si="0"/>
        <v>ぎょぎょﾗｲﾄﾜﾝﾀｯﾁ ３Ｌ ｜ 1F釣具部屋【04】 ｜ B</v>
      </c>
      <c r="E52" s="11" t="str">
        <f t="shared" si="1"/>
        <v>1F釣具部屋</v>
      </c>
      <c r="F52" s="12" t="s">
        <v>21</v>
      </c>
      <c r="G52" s="11" t="str">
        <f t="shared" si="2"/>
        <v>04・1F釣具部屋B</v>
      </c>
      <c r="H52" s="3"/>
    </row>
    <row r="53" spans="1:8" ht="15" customHeight="1" x14ac:dyDescent="0.2">
      <c r="A53" s="10" t="s">
        <v>185</v>
      </c>
      <c r="B53" s="10" t="str">
        <f>IFERROR(
    INDEX([1]FSHIP!B:B,MATCH(A53,[1]FSHIP!A:A,0)),
    IFERROR(
        INDEX([1]釣具商品ship!B:B,MATCH(A53,[1]釣具商品ship!A:A,0)),
        IFERROR(
            INDEX([1]玩具商品ship!B:B,MATCH(A53,[1]玩具商品ship!A:A,0)),
            IFERROR(
                INDEX([1]OEMship!B:B,MATCH(A53,[1]OEMship!A:A,0)),
                IFERROR(
                    INDEX([1]NV6ship!B:B,MATCH(A53,[1]NV6ship!A:A,0)),
                    IFERROR(
                        INDEX([1]NVship!B:B,MATCH(A53,[1]NVship!A:A,0)),
                        IFERROR(
                            INDEX([1]海ship!B:B,MATCH(A53,[1]海ship!A:A,0)),
                            IFERROR(
                                INDEX([1]ｾﾚship!B:B,MATCH(A53,[1]ｾﾚship!A:A,0)),
                                IFERROR(
                                    INDEX([1]ｾﾚﾓﾆｰ商品ship!B:B,MATCH(A53,[1]ｾﾚﾓﾆｰ商品ship!A:A,0)),
                                    INDEX([2]NV!D:D,MATCH(A53,[2]NV!C:C,0))
                                )
                            )
                        )
                    )
                )
            )
        )
    )
)</f>
        <v>ルミコ　グリーン</v>
      </c>
      <c r="C53" s="4" t="s">
        <v>10</v>
      </c>
      <c r="D53" s="10" t="str">
        <f t="shared" si="0"/>
        <v>ルミコ　グリーン ｜ 1F釣具部屋【04】 ｜ H</v>
      </c>
      <c r="E53" s="11" t="str">
        <f t="shared" si="1"/>
        <v>1F釣具部屋</v>
      </c>
      <c r="F53" s="12" t="s">
        <v>21</v>
      </c>
      <c r="G53" s="11" t="str">
        <f t="shared" si="2"/>
        <v>04・1F釣具部屋H</v>
      </c>
      <c r="H53" s="3"/>
    </row>
    <row r="54" spans="1:8" ht="15" customHeight="1" x14ac:dyDescent="0.2">
      <c r="A54" s="10" t="s">
        <v>186</v>
      </c>
      <c r="B54" s="10" t="str">
        <f>IFERROR(
    INDEX([1]FSHIP!B:B,MATCH(A54,[1]FSHIP!A:A,0)),
    IFERROR(
        INDEX([1]釣具商品ship!B:B,MATCH(A54,[1]釣具商品ship!A:A,0)),
        IFERROR(
            INDEX([1]玩具商品ship!B:B,MATCH(A54,[1]玩具商品ship!A:A,0)),
            IFERROR(
                INDEX([1]OEMship!B:B,MATCH(A54,[1]OEMship!A:A,0)),
                IFERROR(
                    INDEX([1]NV6ship!B:B,MATCH(A54,[1]NV6ship!A:A,0)),
                    IFERROR(
                        INDEX([1]NVship!B:B,MATCH(A54,[1]NVship!A:A,0)),
                        IFERROR(
                            INDEX([1]海ship!B:B,MATCH(A54,[1]海ship!A:A,0)),
                            IFERROR(
                                INDEX([1]ｾﾚship!B:B,MATCH(A54,[1]ｾﾚship!A:A,0)),
                                IFERROR(
                                    INDEX([1]ｾﾚﾓﾆｰ商品ship!B:B,MATCH(A54,[1]ｾﾚﾓﾆｰ商品ship!A:A,0)),
                                    INDEX([2]NV!D:D,MATCH(A54,[2]NV!C:C,0))
                                )
                            )
                        )
                    )
                )
            )
        )
    )
)</f>
        <v>ルミコ　ブルー</v>
      </c>
      <c r="C54" s="4" t="s">
        <v>10</v>
      </c>
      <c r="D54" s="10" t="str">
        <f t="shared" si="0"/>
        <v>ルミコ　ブルー ｜ 1F釣具部屋【04】 ｜ H</v>
      </c>
      <c r="E54" s="11" t="str">
        <f t="shared" si="1"/>
        <v>1F釣具部屋</v>
      </c>
      <c r="F54" s="12" t="s">
        <v>21</v>
      </c>
      <c r="G54" s="11" t="str">
        <f t="shared" si="2"/>
        <v>04・1F釣具部屋H</v>
      </c>
      <c r="H54" s="3"/>
    </row>
    <row r="55" spans="1:8" ht="15" customHeight="1" x14ac:dyDescent="0.2">
      <c r="A55" s="10" t="s">
        <v>187</v>
      </c>
      <c r="B55" s="10" t="str">
        <f>IFERROR(
    INDEX([1]FSHIP!B:B,MATCH(A55,[1]FSHIP!A:A,0)),
    IFERROR(
        INDEX([1]釣具商品ship!B:B,MATCH(A55,[1]釣具商品ship!A:A,0)),
        IFERROR(
            INDEX([1]玩具商品ship!B:B,MATCH(A55,[1]玩具商品ship!A:A,0)),
            IFERROR(
                INDEX([1]OEMship!B:B,MATCH(A55,[1]OEMship!A:A,0)),
                IFERROR(
                    INDEX([1]NV6ship!B:B,MATCH(A55,[1]NV6ship!A:A,0)),
                    IFERROR(
                        INDEX([1]NVship!B:B,MATCH(A55,[1]NVship!A:A,0)),
                        IFERROR(
                            INDEX([1]海ship!B:B,MATCH(A55,[1]海ship!A:A,0)),
                            IFERROR(
                                INDEX([1]ｾﾚship!B:B,MATCH(A55,[1]ｾﾚship!A:A,0)),
                                IFERROR(
                                    INDEX([1]ｾﾚﾓﾆｰ商品ship!B:B,MATCH(A55,[1]ｾﾚﾓﾆｰ商品ship!A:A,0)),
                                    INDEX([2]NV!D:D,MATCH(A55,[2]NV!C:C,0))
                                )
                            )
                        )
                    )
                )
            )
        )
    )
)</f>
        <v>ルミコ　オレンジ</v>
      </c>
      <c r="C55" s="4" t="s">
        <v>10</v>
      </c>
      <c r="D55" s="10" t="str">
        <f t="shared" si="0"/>
        <v>ルミコ　オレンジ ｜ 1F釣具部屋【04】 ｜ H</v>
      </c>
      <c r="E55" s="11" t="str">
        <f t="shared" si="1"/>
        <v>1F釣具部屋</v>
      </c>
      <c r="F55" s="12" t="s">
        <v>21</v>
      </c>
      <c r="G55" s="11" t="str">
        <f t="shared" si="2"/>
        <v>04・1F釣具部屋H</v>
      </c>
      <c r="H55" s="3"/>
    </row>
    <row r="56" spans="1:8" ht="15" customHeight="1" x14ac:dyDescent="0.2">
      <c r="A56" s="10" t="s">
        <v>188</v>
      </c>
      <c r="B56" s="10" t="str">
        <f>IFERROR(
    INDEX([1]FSHIP!B:B,MATCH(A56,[1]FSHIP!A:A,0)),
    IFERROR(
        INDEX([1]釣具商品ship!B:B,MATCH(A56,[1]釣具商品ship!A:A,0)),
        IFERROR(
            INDEX([1]玩具商品ship!B:B,MATCH(A56,[1]玩具商品ship!A:A,0)),
            IFERROR(
                INDEX([1]OEMship!B:B,MATCH(A56,[1]OEMship!A:A,0)),
                IFERROR(
                    INDEX([1]NV6ship!B:B,MATCH(A56,[1]NV6ship!A:A,0)),
                    IFERROR(
                        INDEX([1]NVship!B:B,MATCH(A56,[1]NVship!A:A,0)),
                        IFERROR(
                            INDEX([1]海ship!B:B,MATCH(A56,[1]海ship!A:A,0)),
                            IFERROR(
                                INDEX([1]ｾﾚship!B:B,MATCH(A56,[1]ｾﾚship!A:A,0)),
                                IFERROR(
                                    INDEX([1]ｾﾚﾓﾆｰ商品ship!B:B,MATCH(A56,[1]ｾﾚﾓﾆｰ商品ship!A:A,0)),
                                    INDEX([2]NV!D:D,MATCH(A56,[2]NV!C:C,0))
                                )
                            )
                        )
                    )
                )
            )
        )
    )
)</f>
        <v>ルミコ　アクアブルー</v>
      </c>
      <c r="C56" s="4" t="s">
        <v>10</v>
      </c>
      <c r="D56" s="10" t="str">
        <f t="shared" si="0"/>
        <v>ルミコ　アクアブルー ｜ 1F釣具部屋【04】 ｜ H</v>
      </c>
      <c r="E56" s="11" t="str">
        <f t="shared" si="1"/>
        <v>1F釣具部屋</v>
      </c>
      <c r="F56" s="12" t="s">
        <v>21</v>
      </c>
      <c r="G56" s="11" t="str">
        <f t="shared" si="2"/>
        <v>04・1F釣具部屋H</v>
      </c>
      <c r="H56" s="3"/>
    </row>
    <row r="57" spans="1:8" ht="15" customHeight="1" x14ac:dyDescent="0.2">
      <c r="A57" s="10" t="s">
        <v>189</v>
      </c>
      <c r="B57" s="10" t="str">
        <f>IFERROR(
    INDEX([1]FSHIP!B:B,MATCH(A57,[1]FSHIP!A:A,0)),
    IFERROR(
        INDEX([1]釣具商品ship!B:B,MATCH(A57,[1]釣具商品ship!A:A,0)),
        IFERROR(
            INDEX([1]玩具商品ship!B:B,MATCH(A57,[1]玩具商品ship!A:A,0)),
            IFERROR(
                INDEX([1]OEMship!B:B,MATCH(A57,[1]OEMship!A:A,0)),
                IFERROR(
                    INDEX([1]NV6ship!B:B,MATCH(A57,[1]NV6ship!A:A,0)),
                    IFERROR(
                        INDEX([1]NVship!B:B,MATCH(A57,[1]NVship!A:A,0)),
                        IFERROR(
                            INDEX([1]海ship!B:B,MATCH(A57,[1]海ship!A:A,0)),
                            IFERROR(
                                INDEX([1]ｾﾚship!B:B,MATCH(A57,[1]ｾﾚship!A:A,0)),
                                IFERROR(
                                    INDEX([1]ｾﾚﾓﾆｰ商品ship!B:B,MATCH(A57,[1]ｾﾚﾓﾆｰ商品ship!A:A,0)),
                                    INDEX([2]NV!D:D,MATCH(A57,[2]NV!C:C,0))
                                )
                            )
                        )
                    )
                )
            )
        )
    )
)</f>
        <v>ルミコ　レッド</v>
      </c>
      <c r="C57" s="4" t="s">
        <v>10</v>
      </c>
      <c r="D57" s="10" t="str">
        <f t="shared" si="0"/>
        <v>ルミコ　レッド ｜ 1F釣具部屋【04】 ｜ H</v>
      </c>
      <c r="E57" s="11" t="str">
        <f t="shared" si="1"/>
        <v>1F釣具部屋</v>
      </c>
      <c r="F57" s="12" t="s">
        <v>21</v>
      </c>
      <c r="G57" s="11" t="str">
        <f t="shared" si="2"/>
        <v>04・1F釣具部屋H</v>
      </c>
      <c r="H57" s="3"/>
    </row>
    <row r="58" spans="1:8" ht="15" customHeight="1" x14ac:dyDescent="0.2">
      <c r="A58" s="10" t="s">
        <v>190</v>
      </c>
      <c r="B58" s="10" t="str">
        <f>IFERROR(
    INDEX([1]FSHIP!B:B,MATCH(A58,[1]FSHIP!A:A,0)),
    IFERROR(
        INDEX([1]釣具商品ship!B:B,MATCH(A58,[1]釣具商品ship!A:A,0)),
        IFERROR(
            INDEX([1]玩具商品ship!B:B,MATCH(A58,[1]玩具商品ship!A:A,0)),
            IFERROR(
                INDEX([1]OEMship!B:B,MATCH(A58,[1]OEMship!A:A,0)),
                IFERROR(
                    INDEX([1]NV6ship!B:B,MATCH(A58,[1]NV6ship!A:A,0)),
                    IFERROR(
                        INDEX([1]NVship!B:B,MATCH(A58,[1]NVship!A:A,0)),
                        IFERROR(
                            INDEX([1]海ship!B:B,MATCH(A58,[1]海ship!A:A,0)),
                            IFERROR(
                                INDEX([1]ｾﾚship!B:B,MATCH(A58,[1]ｾﾚship!A:A,0)),
                                IFERROR(
                                    INDEX([1]ｾﾚﾓﾆｰ商品ship!B:B,MATCH(A58,[1]ｾﾚﾓﾆｰ商品ship!A:A,0)),
                                    INDEX([2]NV!D:D,MATCH(A58,[2]NV!C:C,0))
                                )
                            )
                        )
                    )
                )
            )
        )
    )
)</f>
        <v>ルミコ　イエロー</v>
      </c>
      <c r="C58" s="4" t="s">
        <v>10</v>
      </c>
      <c r="D58" s="10" t="str">
        <f t="shared" si="0"/>
        <v>ルミコ　イエロー ｜ 1F釣具部屋【04】 ｜ H</v>
      </c>
      <c r="E58" s="11" t="str">
        <f t="shared" si="1"/>
        <v>1F釣具部屋</v>
      </c>
      <c r="F58" s="12" t="s">
        <v>21</v>
      </c>
      <c r="G58" s="11" t="str">
        <f t="shared" si="2"/>
        <v>04・1F釣具部屋H</v>
      </c>
      <c r="H58" s="3"/>
    </row>
    <row r="59" spans="1:8" ht="15" customHeight="1" x14ac:dyDescent="0.2">
      <c r="A59" s="10" t="s">
        <v>232</v>
      </c>
      <c r="B59" s="10" t="str">
        <f>IFERROR(
    INDEX([1]FSHIP!B:B,MATCH(A59,[1]FSHIP!A:A,0)),
    IFERROR(
        INDEX([1]釣具商品ship!B:B,MATCH(A59,[1]釣具商品ship!A:A,0)),
        IFERROR(
            INDEX([1]玩具商品ship!B:B,MATCH(A59,[1]玩具商品ship!A:A,0)),
            IFERROR(
                INDEX([1]OEMship!B:B,MATCH(A59,[1]OEMship!A:A,0)),
                IFERROR(
                    INDEX([1]NV6ship!B:B,MATCH(A59,[1]NV6ship!A:A,0)),
                    IFERROR(
                        INDEX([1]NVship!B:B,MATCH(A59,[1]NVship!A:A,0)),
                        IFERROR(
                            INDEX([1]海ship!B:B,MATCH(A59,[1]海ship!A:A,0)),
                            IFERROR(
                                INDEX([1]ｾﾚship!B:B,MATCH(A59,[1]ｾﾚship!A:A,0)),
                                IFERROR(
                                    INDEX([1]ｾﾚﾓﾆｰ商品ship!B:B,MATCH(A59,[1]ｾﾚﾓﾆｰ商品ship!A:A,0)),
                                    INDEX([2]NV!D:D,MATCH(A59,[2]NV!C:C,0))
                                )
                            )
                        )
                    )
                )
            )
        )
    )
)</f>
        <v>テンヤホタル　クリア</v>
      </c>
      <c r="C59" s="4" t="s">
        <v>6</v>
      </c>
      <c r="D59" s="10" t="str">
        <f t="shared" si="0"/>
        <v>テンヤホタル　クリア ｜ 1F釣具部屋【04】 ｜ J</v>
      </c>
      <c r="E59" s="11" t="str">
        <f t="shared" si="1"/>
        <v>1F釣具部屋</v>
      </c>
      <c r="F59" s="12" t="s">
        <v>21</v>
      </c>
      <c r="G59" s="11" t="str">
        <f t="shared" si="2"/>
        <v>04・1F釣具部屋J</v>
      </c>
      <c r="H59" s="3"/>
    </row>
    <row r="60" spans="1:8" ht="15" customHeight="1" x14ac:dyDescent="0.2">
      <c r="A60" s="10" t="s">
        <v>222</v>
      </c>
      <c r="B60" s="10" t="str">
        <f>IFERROR(
    INDEX([1]FSHIP!B:B,MATCH(A60,[1]FSHIP!A:A,0)),
    IFERROR(
        INDEX([1]釣具商品ship!B:B,MATCH(A60,[1]釣具商品ship!A:A,0)),
        IFERROR(
            INDEX([1]玩具商品ship!B:B,MATCH(A60,[1]玩具商品ship!A:A,0)),
            IFERROR(
                INDEX([1]OEMship!B:B,MATCH(A60,[1]OEMship!A:A,0)),
                IFERROR(
                    INDEX([1]NV6ship!B:B,MATCH(A60,[1]NV6ship!A:A,0)),
                    IFERROR(
                        INDEX([1]NVship!B:B,MATCH(A60,[1]NVship!A:A,0)),
                        IFERROR(
                            INDEX([1]海ship!B:B,MATCH(A60,[1]海ship!A:A,0)),
                            IFERROR(
                                INDEX([1]ｾﾚship!B:B,MATCH(A60,[1]ｾﾚship!A:A,0)),
                                IFERROR(
                                    INDEX([1]ｾﾚﾓﾆｰ商品ship!B:B,MATCH(A60,[1]ｾﾚﾓﾆｰ商品ship!A:A,0)),
                                    INDEX([2]NV!D:D,MATCH(A60,[2]NV!C:C,0))
                                )
                            )
                        )
                    )
                )
            )
        )
    )
)</f>
        <v>あなご天国　37</v>
      </c>
      <c r="C60" s="4" t="s">
        <v>8</v>
      </c>
      <c r="D60" s="10" t="str">
        <f t="shared" si="0"/>
        <v>あなご天国　37 ｜ 1F釣具部屋【04】 ｜ I</v>
      </c>
      <c r="E60" s="11" t="str">
        <f t="shared" si="1"/>
        <v>1F釣具部屋</v>
      </c>
      <c r="F60" s="12" t="s">
        <v>21</v>
      </c>
      <c r="G60" s="11" t="str">
        <f t="shared" si="2"/>
        <v>04・1F釣具部屋I</v>
      </c>
      <c r="H60" s="3"/>
    </row>
    <row r="61" spans="1:8" ht="15" customHeight="1" x14ac:dyDescent="0.2">
      <c r="A61" s="10" t="s">
        <v>309</v>
      </c>
      <c r="B61" s="10" t="str">
        <f>IFERROR(
    INDEX([1]FSHIP!B:B,MATCH(A61,[1]FSHIP!A:A,0)),
    IFERROR(
        INDEX([1]釣具商品ship!B:B,MATCH(A61,[1]釣具商品ship!A:A,0)),
        IFERROR(
            INDEX([1]玩具商品ship!B:B,MATCH(A61,[1]玩具商品ship!A:A,0)),
            IFERROR(
                INDEX([1]OEMship!B:B,MATCH(A61,[1]OEMship!A:A,0)),
                IFERROR(
                    INDEX([1]NV6ship!B:B,MATCH(A61,[1]NV6ship!A:A,0)),
                    IFERROR(
                        INDEX([1]NVship!B:B,MATCH(A61,[1]NVship!A:A,0)),
                        IFERROR(
                            INDEX([1]海ship!B:B,MATCH(A61,[1]海ship!A:A,0)),
                            IFERROR(
                                INDEX([1]ｾﾚship!B:B,MATCH(A61,[1]ｾﾚship!A:A,0)),
                                IFERROR(
                                    INDEX([1]ｾﾚﾓﾆｰ商品ship!B:B,MATCH(A61,[1]ｾﾚﾓﾆｰ商品ship!A:A,0)),
                                    INDEX([2]NV!D:D,MATCH(A61,[2]NV!C:C,0))
                                )
                            )
                        )
                    )
                )
            )
        )
    )
)</f>
        <v>ｹﾐﾎﾀﾙﾃﾝﾔ光弾 40号 ﾌﾞﾙﾋﾟﾝ</v>
      </c>
      <c r="C61" s="4" t="s">
        <v>4</v>
      </c>
      <c r="D61" s="10" t="str">
        <f t="shared" si="0"/>
        <v>ｹﾐﾎﾀﾙﾃﾝﾔ光弾 40号 ﾌﾞﾙﾋﾟﾝ ｜ 1F釣具部屋【04】 ｜ K</v>
      </c>
      <c r="E61" s="11" t="str">
        <f t="shared" si="1"/>
        <v>1F釣具部屋</v>
      </c>
      <c r="F61" s="12" t="s">
        <v>21</v>
      </c>
      <c r="G61" s="11" t="str">
        <f t="shared" si="2"/>
        <v>04・1F釣具部屋K</v>
      </c>
      <c r="H61" s="3"/>
    </row>
    <row r="62" spans="1:8" ht="15" customHeight="1" x14ac:dyDescent="0.2">
      <c r="A62" s="10" t="s">
        <v>308</v>
      </c>
      <c r="B62" s="10" t="str">
        <f>IFERROR(
    INDEX([1]FSHIP!B:B,MATCH(A62,[1]FSHIP!A:A,0)),
    IFERROR(
        INDEX([1]釣具商品ship!B:B,MATCH(A62,[1]釣具商品ship!A:A,0)),
        IFERROR(
            INDEX([1]玩具商品ship!B:B,MATCH(A62,[1]玩具商品ship!A:A,0)),
            IFERROR(
                INDEX([1]OEMship!B:B,MATCH(A62,[1]OEMship!A:A,0)),
                IFERROR(
                    INDEX([1]NV6ship!B:B,MATCH(A62,[1]NV6ship!A:A,0)),
                    IFERROR(
                        INDEX([1]NVship!B:B,MATCH(A62,[1]NVship!A:A,0)),
                        IFERROR(
                            INDEX([1]海ship!B:B,MATCH(A62,[1]海ship!A:A,0)),
                            IFERROR(
                                INDEX([1]ｾﾚship!B:B,MATCH(A62,[1]ｾﾚship!A:A,0)),
                                IFERROR(
                                    INDEX([1]ｾﾚﾓﾆｰ商品ship!B:B,MATCH(A62,[1]ｾﾚﾓﾆｰ商品ship!A:A,0)),
                                    INDEX([2]NV!D:D,MATCH(A62,[2]NV!C:C,0))
                                )
                            )
                        )
                    )
                )
            )
        )
    )
)</f>
        <v>ｹﾐﾎﾀﾙﾃﾝﾔ光弾 40号 ﾊﾟｰﾌﾟﾙｾﾞﾌﾞﾗ</v>
      </c>
      <c r="C62" s="4" t="s">
        <v>1</v>
      </c>
      <c r="D62" s="10" t="str">
        <f t="shared" si="0"/>
        <v>ｹﾐﾎﾀﾙﾃﾝﾔ光弾 40号 ﾊﾟｰﾌﾟﾙｾﾞﾌﾞﾗ ｜ 1F釣具部屋【04】 ｜ L</v>
      </c>
      <c r="E62" s="11" t="str">
        <f t="shared" si="1"/>
        <v>1F釣具部屋</v>
      </c>
      <c r="F62" s="12" t="s">
        <v>21</v>
      </c>
      <c r="G62" s="11" t="str">
        <f t="shared" si="2"/>
        <v>04・1F釣具部屋L</v>
      </c>
      <c r="H62" s="3"/>
    </row>
    <row r="63" spans="1:8" ht="15" customHeight="1" x14ac:dyDescent="0.2">
      <c r="A63" s="10" t="s">
        <v>307</v>
      </c>
      <c r="B63" s="10" t="str">
        <f>IFERROR(
    INDEX([1]FSHIP!B:B,MATCH(A63,[1]FSHIP!A:A,0)),
    IFERROR(
        INDEX([1]釣具商品ship!B:B,MATCH(A63,[1]釣具商品ship!A:A,0)),
        IFERROR(
            INDEX([1]玩具商品ship!B:B,MATCH(A63,[1]玩具商品ship!A:A,0)),
            IFERROR(
                INDEX([1]OEMship!B:B,MATCH(A63,[1]OEMship!A:A,0)),
                IFERROR(
                    INDEX([1]NV6ship!B:B,MATCH(A63,[1]NV6ship!A:A,0)),
                    IFERROR(
                        INDEX([1]NVship!B:B,MATCH(A63,[1]NVship!A:A,0)),
                        IFERROR(
                            INDEX([1]海ship!B:B,MATCH(A63,[1]海ship!A:A,0)),
                            IFERROR(
                                INDEX([1]ｾﾚship!B:B,MATCH(A63,[1]ｾﾚship!A:A,0)),
                                IFERROR(
                                    INDEX([1]ｾﾚﾓﾆｰ商品ship!B:B,MATCH(A63,[1]ｾﾚﾓﾆｰ商品ship!A:A,0)),
                                    INDEX([2]NV!D:D,MATCH(A63,[2]NV!C:C,0))
                                )
                            )
                        )
                    )
                )
            )
        )
    )
)</f>
        <v>ｹﾐﾎﾀﾙﾃﾝﾔ光弾 50号 ｸﾞﾛｰ</v>
      </c>
      <c r="C63" s="4" t="s">
        <v>1</v>
      </c>
      <c r="D63" s="10" t="str">
        <f t="shared" si="0"/>
        <v>ｹﾐﾎﾀﾙﾃﾝﾔ光弾 50号 ｸﾞﾛｰ ｜ 1F釣具部屋【04】 ｜ L</v>
      </c>
      <c r="E63" s="11" t="str">
        <f t="shared" si="1"/>
        <v>1F釣具部屋</v>
      </c>
      <c r="F63" s="12" t="s">
        <v>21</v>
      </c>
      <c r="G63" s="11" t="str">
        <f t="shared" si="2"/>
        <v>04・1F釣具部屋L</v>
      </c>
      <c r="H63" s="3"/>
    </row>
    <row r="64" spans="1:8" ht="15" customHeight="1" x14ac:dyDescent="0.2">
      <c r="A64" s="10" t="s">
        <v>311</v>
      </c>
      <c r="B64" s="10" t="str">
        <f>IFERROR(
    INDEX([1]FSHIP!B:B,MATCH(A64,[1]FSHIP!A:A,0)),
    IFERROR(
        INDEX([1]釣具商品ship!B:B,MATCH(A64,[1]釣具商品ship!A:A,0)),
        IFERROR(
            INDEX([1]玩具商品ship!B:B,MATCH(A64,[1]玩具商品ship!A:A,0)),
            IFERROR(
                INDEX([1]OEMship!B:B,MATCH(A64,[1]OEMship!A:A,0)),
                IFERROR(
                    INDEX([1]NV6ship!B:B,MATCH(A64,[1]NV6ship!A:A,0)),
                    IFERROR(
                        INDEX([1]NVship!B:B,MATCH(A64,[1]NVship!A:A,0)),
                        IFERROR(
                            INDEX([1]海ship!B:B,MATCH(A64,[1]海ship!A:A,0)),
                            IFERROR(
                                INDEX([1]ｾﾚship!B:B,MATCH(A64,[1]ｾﾚship!A:A,0)),
                                IFERROR(
                                    INDEX([1]ｾﾚﾓﾆｰ商品ship!B:B,MATCH(A64,[1]ｾﾚﾓﾆｰ商品ship!A:A,0)),
                                    INDEX([2]NV!D:D,MATCH(A64,[2]NV!C:C,0))
                                )
                            )
                        )
                    )
                )
            )
        )
    )
)</f>
        <v>ｹﾐﾎﾀﾙﾃﾝﾔ光弾 50号 ﾌﾞﾙﾋﾟﾝ</v>
      </c>
      <c r="C64" s="4" t="s">
        <v>1</v>
      </c>
      <c r="D64" s="10" t="str">
        <f t="shared" si="0"/>
        <v>ｹﾐﾎﾀﾙﾃﾝﾔ光弾 50号 ﾌﾞﾙﾋﾟﾝ ｜ 1F釣具部屋【04】 ｜ L</v>
      </c>
      <c r="E64" s="11" t="str">
        <f t="shared" si="1"/>
        <v>1F釣具部屋</v>
      </c>
      <c r="F64" s="12" t="s">
        <v>21</v>
      </c>
      <c r="G64" s="11" t="str">
        <f t="shared" si="2"/>
        <v>04・1F釣具部屋L</v>
      </c>
      <c r="H64" s="3"/>
    </row>
    <row r="65" spans="1:8" ht="15" customHeight="1" x14ac:dyDescent="0.2">
      <c r="A65" s="10" t="s">
        <v>310</v>
      </c>
      <c r="B65" s="10" t="str">
        <f>IFERROR(
    INDEX([1]FSHIP!B:B,MATCH(A65,[1]FSHIP!A:A,0)),
    IFERROR(
        INDEX([1]釣具商品ship!B:B,MATCH(A65,[1]釣具商品ship!A:A,0)),
        IFERROR(
            INDEX([1]玩具商品ship!B:B,MATCH(A65,[1]玩具商品ship!A:A,0)),
            IFERROR(
                INDEX([1]OEMship!B:B,MATCH(A65,[1]OEMship!A:A,0)),
                IFERROR(
                    INDEX([1]NV6ship!B:B,MATCH(A65,[1]NV6ship!A:A,0)),
                    IFERROR(
                        INDEX([1]NVship!B:B,MATCH(A65,[1]NVship!A:A,0)),
                        IFERROR(
                            INDEX([1]海ship!B:B,MATCH(A65,[1]海ship!A:A,0)),
                            IFERROR(
                                INDEX([1]ｾﾚship!B:B,MATCH(A65,[1]ｾﾚship!A:A,0)),
                                IFERROR(
                                    INDEX([1]ｾﾚﾓﾆｰ商品ship!B:B,MATCH(A65,[1]ｾﾚﾓﾆｰ商品ship!A:A,0)),
                                    INDEX([2]NV!D:D,MATCH(A65,[2]NV!C:C,0))
                                )
                            )
                        )
                    )
                )
            )
        )
    )
)</f>
        <v>ｹﾐﾎﾀﾙﾃﾝﾔ光弾 50号 ﾊﾟｰﾌﾟﾙｾﾞﾌﾞﾗ</v>
      </c>
      <c r="C65" s="4" t="s">
        <v>1</v>
      </c>
      <c r="D65" s="10" t="str">
        <f t="shared" si="0"/>
        <v>ｹﾐﾎﾀﾙﾃﾝﾔ光弾 50号 ﾊﾟｰﾌﾟﾙｾﾞﾌﾞﾗ ｜ 1F釣具部屋【04】 ｜ L</v>
      </c>
      <c r="E65" s="11" t="str">
        <f t="shared" si="1"/>
        <v>1F釣具部屋</v>
      </c>
      <c r="F65" s="12" t="s">
        <v>21</v>
      </c>
      <c r="G65" s="11" t="str">
        <f t="shared" si="2"/>
        <v>04・1F釣具部屋L</v>
      </c>
      <c r="H65" s="3"/>
    </row>
    <row r="66" spans="1:8" ht="15" customHeight="1" x14ac:dyDescent="0.2">
      <c r="A66" s="10" t="s">
        <v>281</v>
      </c>
      <c r="B66" s="10" t="str">
        <f>IFERROR(
    INDEX([1]FSHIP!B:B,MATCH(A66,[1]FSHIP!A:A,0)),
    IFERROR(
        INDEX([1]釣具商品ship!B:B,MATCH(A66,[1]釣具商品ship!A:A,0)),
        IFERROR(
            INDEX([1]玩具商品ship!B:B,MATCH(A66,[1]玩具商品ship!A:A,0)),
            IFERROR(
                INDEX([1]OEMship!B:B,MATCH(A66,[1]OEMship!A:A,0)),
                IFERROR(
                    INDEX([1]NV6ship!B:B,MATCH(A66,[1]NV6ship!A:A,0)),
                    IFERROR(
                        INDEX([1]NVship!B:B,MATCH(A66,[1]NVship!A:A,0)),
                        IFERROR(
                            INDEX([1]海ship!B:B,MATCH(A66,[1]海ship!A:A,0)),
                            IFERROR(
                                INDEX([1]ｾﾚship!B:B,MATCH(A66,[1]ｾﾚship!A:A,0)),
                                IFERROR(
                                    INDEX([1]ｾﾚﾓﾆｰ商品ship!B:B,MATCH(A66,[1]ｾﾚﾓﾆｰ商品ship!A:A,0)),
                                    INDEX([2]NV!D:D,MATCH(A66,[2]NV!C:C,0))
                                )
                            )
                        )
                    )
                )
            )
        )
    )
)</f>
        <v>パワー太刀魚50オレンジ(2本入り)</v>
      </c>
      <c r="C66" s="4" t="s">
        <v>4</v>
      </c>
      <c r="D66" s="10" t="str">
        <f t="shared" ref="D66:D129" si="3">B66&amp;" ｜ "&amp;E66&amp;"【"&amp;F66&amp;"】 ｜ "&amp;C66</f>
        <v>パワー太刀魚50オレンジ(2本入り) ｜ 1F釣具部屋【04】 ｜ K</v>
      </c>
      <c r="E66" s="11" t="str">
        <f t="shared" ref="E66:E129" si="4">INDEX(K:K, MATCH(F66, J:J, 0))</f>
        <v>1F釣具部屋</v>
      </c>
      <c r="F66" s="12" t="s">
        <v>21</v>
      </c>
      <c r="G66" s="11" t="str">
        <f t="shared" ref="G66:G129" si="5">F66&amp;"・"&amp;E66&amp;C66</f>
        <v>04・1F釣具部屋K</v>
      </c>
      <c r="H66" s="3"/>
    </row>
    <row r="67" spans="1:8" ht="15" customHeight="1" x14ac:dyDescent="0.2">
      <c r="A67" s="10" t="s">
        <v>278</v>
      </c>
      <c r="B67" s="10" t="str">
        <f>IFERROR(
    INDEX([1]FSHIP!B:B,MATCH(A67,[1]FSHIP!A:A,0)),
    IFERROR(
        INDEX([1]釣具商品ship!B:B,MATCH(A67,[1]釣具商品ship!A:A,0)),
        IFERROR(
            INDEX([1]玩具商品ship!B:B,MATCH(A67,[1]玩具商品ship!A:A,0)),
            IFERROR(
                INDEX([1]OEMship!B:B,MATCH(A67,[1]OEMship!A:A,0)),
                IFERROR(
                    INDEX([1]NV6ship!B:B,MATCH(A67,[1]NV6ship!A:A,0)),
                    IFERROR(
                        INDEX([1]NVship!B:B,MATCH(A67,[1]NVship!A:A,0)),
                        IFERROR(
                            INDEX([1]海ship!B:B,MATCH(A67,[1]海ship!A:A,0)),
                            IFERROR(
                                INDEX([1]ｾﾚship!B:B,MATCH(A67,[1]ｾﾚship!A:A,0)),
                                IFERROR(
                                    INDEX([1]ｾﾚﾓﾆｰ商品ship!B:B,MATCH(A67,[1]ｾﾚﾓﾆｰ商品ship!A:A,0)),
                                    INDEX([2]NV!D:D,MATCH(A67,[2]NV!C:C,0))
                                )
                            )
                        )
                    )
                )
            )
        )
    )
)</f>
        <v>パワー太刀魚50イエロー(2本入り)</v>
      </c>
      <c r="C67" s="4" t="s">
        <v>4</v>
      </c>
      <c r="D67" s="10" t="str">
        <f t="shared" si="3"/>
        <v>パワー太刀魚50イエロー(2本入り) ｜ 1F釣具部屋【04】 ｜ K</v>
      </c>
      <c r="E67" s="11" t="str">
        <f t="shared" si="4"/>
        <v>1F釣具部屋</v>
      </c>
      <c r="F67" s="12" t="s">
        <v>21</v>
      </c>
      <c r="G67" s="11" t="str">
        <f t="shared" si="5"/>
        <v>04・1F釣具部屋K</v>
      </c>
      <c r="H67" s="3"/>
    </row>
    <row r="68" spans="1:8" ht="15" customHeight="1" x14ac:dyDescent="0.2">
      <c r="A68" s="10" t="s">
        <v>273</v>
      </c>
      <c r="B68" s="10" t="str">
        <f>IFERROR(
    INDEX([1]FSHIP!B:B,MATCH(A68,[1]FSHIP!A:A,0)),
    IFERROR(
        INDEX([1]釣具商品ship!B:B,MATCH(A68,[1]釣具商品ship!A:A,0)),
        IFERROR(
            INDEX([1]玩具商品ship!B:B,MATCH(A68,[1]玩具商品ship!A:A,0)),
            IFERROR(
                INDEX([1]OEMship!B:B,MATCH(A68,[1]OEMship!A:A,0)),
                IFERROR(
                    INDEX([1]NV6ship!B:B,MATCH(A68,[1]NV6ship!A:A,0)),
                    IFERROR(
                        INDEX([1]NVship!B:B,MATCH(A68,[1]NVship!A:A,0)),
                        IFERROR(
                            INDEX([1]海ship!B:B,MATCH(A68,[1]海ship!A:A,0)),
                            IFERROR(
                                INDEX([1]ｾﾚship!B:B,MATCH(A68,[1]ｾﾚship!A:A,0)),
                                IFERROR(
                                    INDEX([1]ｾﾚﾓﾆｰ商品ship!B:B,MATCH(A68,[1]ｾﾚﾓﾆｰ商品ship!A:A,0)),
                                    INDEX([2]NV!D:D,MATCH(A68,[2]NV!C:C,0))
                                )
                            )
                        )
                    )
                )
            )
        )
    )
)</f>
        <v>パワー太刀魚50レッド(2本入り)</v>
      </c>
      <c r="C68" s="4" t="s">
        <v>4</v>
      </c>
      <c r="D68" s="10" t="str">
        <f t="shared" si="3"/>
        <v>パワー太刀魚50レッド(2本入り) ｜ 1F釣具部屋【04】 ｜ K</v>
      </c>
      <c r="E68" s="11" t="str">
        <f t="shared" si="4"/>
        <v>1F釣具部屋</v>
      </c>
      <c r="F68" s="12" t="s">
        <v>21</v>
      </c>
      <c r="G68" s="11" t="str">
        <f t="shared" si="5"/>
        <v>04・1F釣具部屋K</v>
      </c>
      <c r="H68" s="3"/>
    </row>
    <row r="69" spans="1:8" ht="15" customHeight="1" x14ac:dyDescent="0.2">
      <c r="A69" s="10" t="s">
        <v>322</v>
      </c>
      <c r="B69" s="10" t="str">
        <f>IFERROR(
    INDEX([1]FSHIP!B:B,MATCH(A69,[1]FSHIP!A:A,0)),
    IFERROR(
        INDEX([1]釣具商品ship!B:B,MATCH(A69,[1]釣具商品ship!A:A,0)),
        IFERROR(
            INDEX([1]玩具商品ship!B:B,MATCH(A69,[1]玩具商品ship!A:A,0)),
            IFERROR(
                INDEX([1]OEMship!B:B,MATCH(A69,[1]OEMship!A:A,0)),
                IFERROR(
                    INDEX([1]NV6ship!B:B,MATCH(A69,[1]NV6ship!A:A,0)),
                    IFERROR(
                        INDEX([1]NVship!B:B,MATCH(A69,[1]NVship!A:A,0)),
                        IFERROR(
                            INDEX([1]海ship!B:B,MATCH(A69,[1]海ship!A:A,0)),
                            IFERROR(
                                INDEX([1]ｾﾚship!B:B,MATCH(A69,[1]ｾﾚship!A:A,0)),
                                IFERROR(
                                    INDEX([1]ｾﾚﾓﾆｰ商品ship!B:B,MATCH(A69,[1]ｾﾚﾓﾆｰ商品ship!A:A,0)),
                                    INDEX([2]NV!D:D,MATCH(A69,[2]NV!C:C,0))
                                )
                            )
                        )
                    )
                )
            )
        )
    )
)</f>
        <v>パワー太刀魚50イエロー(2本入) 3枚ｾｯﾄ</v>
      </c>
      <c r="C69" s="4" t="s">
        <v>2</v>
      </c>
      <c r="D69" s="10" t="str">
        <f t="shared" si="3"/>
        <v>パワー太刀魚50イエロー(2本入) 3枚ｾｯﾄ ｜ 1F釣具部屋【04】 ｜ M</v>
      </c>
      <c r="E69" s="11" t="str">
        <f t="shared" si="4"/>
        <v>1F釣具部屋</v>
      </c>
      <c r="F69" s="12" t="s">
        <v>21</v>
      </c>
      <c r="G69" s="11" t="str">
        <f t="shared" si="5"/>
        <v>04・1F釣具部屋M</v>
      </c>
      <c r="H69" s="3"/>
    </row>
    <row r="70" spans="1:8" ht="15" customHeight="1" x14ac:dyDescent="0.2">
      <c r="A70" s="10" t="s">
        <v>279</v>
      </c>
      <c r="B70" s="10" t="str">
        <f>IFERROR(
    INDEX([1]FSHIP!B:B,MATCH(A70,[1]FSHIP!A:A,0)),
    IFERROR(
        INDEX([1]釣具商品ship!B:B,MATCH(A70,[1]釣具商品ship!A:A,0)),
        IFERROR(
            INDEX([1]玩具商品ship!B:B,MATCH(A70,[1]玩具商品ship!A:A,0)),
            IFERROR(
                INDEX([1]OEMship!B:B,MATCH(A70,[1]OEMship!A:A,0)),
                IFERROR(
                    INDEX([1]NV6ship!B:B,MATCH(A70,[1]NV6ship!A:A,0)),
                    IFERROR(
                        INDEX([1]NVship!B:B,MATCH(A70,[1]NVship!A:A,0)),
                        IFERROR(
                            INDEX([1]海ship!B:B,MATCH(A70,[1]海ship!A:A,0)),
                            IFERROR(
                                INDEX([1]ｾﾚship!B:B,MATCH(A70,[1]ｾﾚship!A:A,0)),
                                IFERROR(
                                    INDEX([1]ｾﾚﾓﾆｰ商品ship!B:B,MATCH(A70,[1]ｾﾚﾓﾆｰ商品ship!A:A,0)),
                                    INDEX([2]NV!D:D,MATCH(A70,[2]NV!C:C,0))
                                )
                            )
                        )
                    )
                )
            )
        )
    )
)</f>
        <v>パワー太刀魚50 ｶﾗｰﾛｰﾃｰｼｮﾝﾊﾟｯｸ</v>
      </c>
      <c r="C70" s="4" t="s">
        <v>4</v>
      </c>
      <c r="D70" s="10" t="str">
        <f t="shared" si="3"/>
        <v>パワー太刀魚50 ｶﾗｰﾛｰﾃｰｼｮﾝﾊﾟｯｸ ｜ 1F釣具部屋【04】 ｜ K</v>
      </c>
      <c r="E70" s="11" t="str">
        <f t="shared" si="4"/>
        <v>1F釣具部屋</v>
      </c>
      <c r="F70" s="12" t="s">
        <v>21</v>
      </c>
      <c r="G70" s="11" t="str">
        <f t="shared" si="5"/>
        <v>04・1F釣具部屋K</v>
      </c>
      <c r="H70" s="3"/>
    </row>
    <row r="71" spans="1:8" ht="15" customHeight="1" x14ac:dyDescent="0.2">
      <c r="A71" s="10" t="s">
        <v>277</v>
      </c>
      <c r="B71" s="10" t="str">
        <f>IFERROR(
    INDEX([1]FSHIP!B:B,MATCH(A71,[1]FSHIP!A:A,0)),
    IFERROR(
        INDEX([1]釣具商品ship!B:B,MATCH(A71,[1]釣具商品ship!A:A,0)),
        IFERROR(
            INDEX([1]玩具商品ship!B:B,MATCH(A71,[1]玩具商品ship!A:A,0)),
            IFERROR(
                INDEX([1]OEMship!B:B,MATCH(A71,[1]OEMship!A:A,0)),
                IFERROR(
                    INDEX([1]NV6ship!B:B,MATCH(A71,[1]NV6ship!A:A,0)),
                    IFERROR(
                        INDEX([1]NVship!B:B,MATCH(A71,[1]NVship!A:A,0)),
                        IFERROR(
                            INDEX([1]海ship!B:B,MATCH(A71,[1]海ship!A:A,0)),
                            IFERROR(
                                INDEX([1]ｾﾚship!B:B,MATCH(A71,[1]ｾﾚship!A:A,0)),
                                IFERROR(
                                    INDEX([1]ｾﾚﾓﾆｰ商品ship!B:B,MATCH(A71,[1]ｾﾚﾓﾆｰ商品ship!A:A,0)),
                                    INDEX([2]NV!D:D,MATCH(A71,[2]NV!C:C,0))
                                )
                            )
                        )
                    )
                )
            )
        )
    )
)</f>
        <v>パワー太刀魚50 ピンク(2本入)</v>
      </c>
      <c r="C71" s="4" t="s">
        <v>4</v>
      </c>
      <c r="D71" s="10" t="str">
        <f t="shared" si="3"/>
        <v>パワー太刀魚50 ピンク(2本入) ｜ 1F釣具部屋【04】 ｜ K</v>
      </c>
      <c r="E71" s="11" t="str">
        <f t="shared" si="4"/>
        <v>1F釣具部屋</v>
      </c>
      <c r="F71" s="12" t="s">
        <v>21</v>
      </c>
      <c r="G71" s="11" t="str">
        <f t="shared" si="5"/>
        <v>04・1F釣具部屋K</v>
      </c>
      <c r="H71" s="3"/>
    </row>
    <row r="72" spans="1:8" ht="15" customHeight="1" x14ac:dyDescent="0.2">
      <c r="A72" s="10" t="s">
        <v>272</v>
      </c>
      <c r="B72" s="10" t="str">
        <f>IFERROR(
    INDEX([1]FSHIP!B:B,MATCH(A72,[1]FSHIP!A:A,0)),
    IFERROR(
        INDEX([1]釣具商品ship!B:B,MATCH(A72,[1]釣具商品ship!A:A,0)),
        IFERROR(
            INDEX([1]玩具商品ship!B:B,MATCH(A72,[1]玩具商品ship!A:A,0)),
            IFERROR(
                INDEX([1]OEMship!B:B,MATCH(A72,[1]OEMship!A:A,0)),
                IFERROR(
                    INDEX([1]NV6ship!B:B,MATCH(A72,[1]NV6ship!A:A,0)),
                    IFERROR(
                        INDEX([1]NVship!B:B,MATCH(A72,[1]NVship!A:A,0)),
                        IFERROR(
                            INDEX([1]海ship!B:B,MATCH(A72,[1]海ship!A:A,0)),
                            IFERROR(
                                INDEX([1]ｾﾚship!B:B,MATCH(A72,[1]ｾﾚship!A:A,0)),
                                IFERROR(
                                    INDEX([1]ｾﾚﾓﾆｰ商品ship!B:B,MATCH(A72,[1]ｾﾚﾓﾆｰ商品ship!A:A,0)),
                                    INDEX([2]NV!D:D,MATCH(A72,[2]NV!C:C,0))
                                )
                            )
                        )
                    )
                )
            )
        )
    )
)</f>
        <v>パワー太刀魚50 ブルー(2本入）</v>
      </c>
      <c r="C72" s="4" t="s">
        <v>4</v>
      </c>
      <c r="D72" s="10" t="str">
        <f t="shared" si="3"/>
        <v>パワー太刀魚50 ブルー(2本入） ｜ 1F釣具部屋【04】 ｜ K</v>
      </c>
      <c r="E72" s="11" t="str">
        <f t="shared" si="4"/>
        <v>1F釣具部屋</v>
      </c>
      <c r="F72" s="12" t="s">
        <v>21</v>
      </c>
      <c r="G72" s="11" t="str">
        <f t="shared" si="5"/>
        <v>04・1F釣具部屋K</v>
      </c>
      <c r="H72" s="3"/>
    </row>
    <row r="73" spans="1:8" ht="15" customHeight="1" x14ac:dyDescent="0.2">
      <c r="A73" s="10" t="s">
        <v>280</v>
      </c>
      <c r="B73" s="10" t="str">
        <f>IFERROR(
    INDEX([1]FSHIP!B:B,MATCH(A73,[1]FSHIP!A:A,0)),
    IFERROR(
        INDEX([1]釣具商品ship!B:B,MATCH(A73,[1]釣具商品ship!A:A,0)),
        IFERROR(
            INDEX([1]玩具商品ship!B:B,MATCH(A73,[1]玩具商品ship!A:A,0)),
            IFERROR(
                INDEX([1]OEMship!B:B,MATCH(A73,[1]OEMship!A:A,0)),
                IFERROR(
                    INDEX([1]NV6ship!B:B,MATCH(A73,[1]NV6ship!A:A,0)),
                    IFERROR(
                        INDEX([1]NVship!B:B,MATCH(A73,[1]NVship!A:A,0)),
                        IFERROR(
                            INDEX([1]海ship!B:B,MATCH(A73,[1]海ship!A:A,0)),
                            IFERROR(
                                INDEX([1]ｾﾚship!B:B,MATCH(A73,[1]ｾﾚship!A:A,0)),
                                IFERROR(
                                    INDEX([1]ｾﾚﾓﾆｰ商品ship!B:B,MATCH(A73,[1]ｾﾚﾓﾆｰ商品ship!A:A,0)),
                                    INDEX([2]NV!D:D,MATCH(A73,[2]NV!C:C,0))
                                )
                            )
                        )
                    )
                )
            )
        )
    )
)</f>
        <v>パワー太刀魚75オレンジ(2本入り)</v>
      </c>
      <c r="C73" s="4" t="s">
        <v>4</v>
      </c>
      <c r="D73" s="10" t="str">
        <f t="shared" si="3"/>
        <v>パワー太刀魚75オレンジ(2本入り) ｜ 1F釣具部屋【04】 ｜ K</v>
      </c>
      <c r="E73" s="11" t="str">
        <f t="shared" si="4"/>
        <v>1F釣具部屋</v>
      </c>
      <c r="F73" s="12" t="s">
        <v>21</v>
      </c>
      <c r="G73" s="11" t="str">
        <f t="shared" si="5"/>
        <v>04・1F釣具部屋K</v>
      </c>
      <c r="H73" s="3"/>
    </row>
    <row r="74" spans="1:8" ht="15" customHeight="1" x14ac:dyDescent="0.2">
      <c r="A74" s="10" t="s">
        <v>274</v>
      </c>
      <c r="B74" s="10" t="str">
        <f>IFERROR(
    INDEX([1]FSHIP!B:B,MATCH(A74,[1]FSHIP!A:A,0)),
    IFERROR(
        INDEX([1]釣具商品ship!B:B,MATCH(A74,[1]釣具商品ship!A:A,0)),
        IFERROR(
            INDEX([1]玩具商品ship!B:B,MATCH(A74,[1]玩具商品ship!A:A,0)),
            IFERROR(
                INDEX([1]OEMship!B:B,MATCH(A74,[1]OEMship!A:A,0)),
                IFERROR(
                    INDEX([1]NV6ship!B:B,MATCH(A74,[1]NV6ship!A:A,0)),
                    IFERROR(
                        INDEX([1]NVship!B:B,MATCH(A74,[1]NVship!A:A,0)),
                        IFERROR(
                            INDEX([1]海ship!B:B,MATCH(A74,[1]海ship!A:A,0)),
                            IFERROR(
                                INDEX([1]ｾﾚship!B:B,MATCH(A74,[1]ｾﾚship!A:A,0)),
                                IFERROR(
                                    INDEX([1]ｾﾚﾓﾆｰ商品ship!B:B,MATCH(A74,[1]ｾﾚﾓﾆｰ商品ship!A:A,0)),
                                    INDEX([2]NV!D:D,MATCH(A74,[2]NV!C:C,0))
                                )
                            )
                        )
                    )
                )
            )
        )
    )
)</f>
        <v>パワー太刀魚75イエロー(2本入り)</v>
      </c>
      <c r="C74" s="4" t="s">
        <v>4</v>
      </c>
      <c r="D74" s="10" t="str">
        <f t="shared" si="3"/>
        <v>パワー太刀魚75イエロー(2本入り) ｜ 1F釣具部屋【04】 ｜ K</v>
      </c>
      <c r="E74" s="11" t="str">
        <f t="shared" si="4"/>
        <v>1F釣具部屋</v>
      </c>
      <c r="F74" s="12" t="s">
        <v>21</v>
      </c>
      <c r="G74" s="11" t="str">
        <f t="shared" si="5"/>
        <v>04・1F釣具部屋K</v>
      </c>
      <c r="H74" s="3"/>
    </row>
    <row r="75" spans="1:8" ht="15" customHeight="1" x14ac:dyDescent="0.2">
      <c r="A75" s="10" t="s">
        <v>276</v>
      </c>
      <c r="B75" s="10" t="str">
        <f>IFERROR(
    INDEX([1]FSHIP!B:B,MATCH(A75,[1]FSHIP!A:A,0)),
    IFERROR(
        INDEX([1]釣具商品ship!B:B,MATCH(A75,[1]釣具商品ship!A:A,0)),
        IFERROR(
            INDEX([1]玩具商品ship!B:B,MATCH(A75,[1]玩具商品ship!A:A,0)),
            IFERROR(
                INDEX([1]OEMship!B:B,MATCH(A75,[1]OEMship!A:A,0)),
                IFERROR(
                    INDEX([1]NV6ship!B:B,MATCH(A75,[1]NV6ship!A:A,0)),
                    IFERROR(
                        INDEX([1]NVship!B:B,MATCH(A75,[1]NVship!A:A,0)),
                        IFERROR(
                            INDEX([1]海ship!B:B,MATCH(A75,[1]海ship!A:A,0)),
                            IFERROR(
                                INDEX([1]ｾﾚship!B:B,MATCH(A75,[1]ｾﾚship!A:A,0)),
                                IFERROR(
                                    INDEX([1]ｾﾚﾓﾆｰ商品ship!B:B,MATCH(A75,[1]ｾﾚﾓﾆｰ商品ship!A:A,0)),
                                    INDEX([2]NV!D:D,MATCH(A75,[2]NV!C:C,0))
                                )
                            )
                        )
                    )
                )
            )
        )
    )
)</f>
        <v>パワー太刀魚75レッド(2本入り)</v>
      </c>
      <c r="C75" s="4" t="s">
        <v>4</v>
      </c>
      <c r="D75" s="10" t="str">
        <f t="shared" si="3"/>
        <v>パワー太刀魚75レッド(2本入り) ｜ 1F釣具部屋【04】 ｜ K</v>
      </c>
      <c r="E75" s="11" t="str">
        <f t="shared" si="4"/>
        <v>1F釣具部屋</v>
      </c>
      <c r="F75" s="12" t="s">
        <v>21</v>
      </c>
      <c r="G75" s="11" t="str">
        <f t="shared" si="5"/>
        <v>04・1F釣具部屋K</v>
      </c>
      <c r="H75" s="3"/>
    </row>
    <row r="76" spans="1:8" ht="15" customHeight="1" x14ac:dyDescent="0.2">
      <c r="A76" s="10" t="s">
        <v>323</v>
      </c>
      <c r="B76" s="10" t="str">
        <f>IFERROR(
    INDEX([1]FSHIP!B:B,MATCH(A76,[1]FSHIP!A:A,0)),
    IFERROR(
        INDEX([1]釣具商品ship!B:B,MATCH(A76,[1]釣具商品ship!A:A,0)),
        IFERROR(
            INDEX([1]玩具商品ship!B:B,MATCH(A76,[1]玩具商品ship!A:A,0)),
            IFERROR(
                INDEX([1]OEMship!B:B,MATCH(A76,[1]OEMship!A:A,0)),
                IFERROR(
                    INDEX([1]NV6ship!B:B,MATCH(A76,[1]NV6ship!A:A,0)),
                    IFERROR(
                        INDEX([1]NVship!B:B,MATCH(A76,[1]NVship!A:A,0)),
                        IFERROR(
                            INDEX([1]海ship!B:B,MATCH(A76,[1]海ship!A:A,0)),
                            IFERROR(
                                INDEX([1]ｾﾚship!B:B,MATCH(A76,[1]ｾﾚship!A:A,0)),
                                IFERROR(
                                    INDEX([1]ｾﾚﾓﾆｰ商品ship!B:B,MATCH(A76,[1]ｾﾚﾓﾆｰ商品ship!A:A,0)),
                                    INDEX([2]NV!D:D,MATCH(A76,[2]NV!C:C,0))
                                )
                            )
                        )
                    )
                )
            )
        )
    )
)</f>
        <v>パワー太刀魚75イエロー(2本入) 3枚ｾｯﾄ</v>
      </c>
      <c r="C76" s="4" t="s">
        <v>2</v>
      </c>
      <c r="D76" s="10" t="str">
        <f t="shared" si="3"/>
        <v>パワー太刀魚75イエロー(2本入) 3枚ｾｯﾄ ｜ 1F釣具部屋【04】 ｜ M</v>
      </c>
      <c r="E76" s="11" t="str">
        <f t="shared" si="4"/>
        <v>1F釣具部屋</v>
      </c>
      <c r="F76" s="12" t="s">
        <v>21</v>
      </c>
      <c r="G76" s="11" t="str">
        <f t="shared" si="5"/>
        <v>04・1F釣具部屋M</v>
      </c>
      <c r="H76" s="3"/>
    </row>
    <row r="77" spans="1:8" ht="15" customHeight="1" x14ac:dyDescent="0.2">
      <c r="A77" s="10" t="s">
        <v>271</v>
      </c>
      <c r="B77" s="10" t="str">
        <f>IFERROR(
    INDEX([1]FSHIP!B:B,MATCH(A77,[1]FSHIP!A:A,0)),
    IFERROR(
        INDEX([1]釣具商品ship!B:B,MATCH(A77,[1]釣具商品ship!A:A,0)),
        IFERROR(
            INDEX([1]玩具商品ship!B:B,MATCH(A77,[1]玩具商品ship!A:A,0)),
            IFERROR(
                INDEX([1]OEMship!B:B,MATCH(A77,[1]OEMship!A:A,0)),
                IFERROR(
                    INDEX([1]NV6ship!B:B,MATCH(A77,[1]NV6ship!A:A,0)),
                    IFERROR(
                        INDEX([1]NVship!B:B,MATCH(A77,[1]NVship!A:A,0)),
                        IFERROR(
                            INDEX([1]海ship!B:B,MATCH(A77,[1]海ship!A:A,0)),
                            IFERROR(
                                INDEX([1]ｾﾚship!B:B,MATCH(A77,[1]ｾﾚship!A:A,0)),
                                IFERROR(
                                    INDEX([1]ｾﾚﾓﾆｰ商品ship!B:B,MATCH(A77,[1]ｾﾚﾓﾆｰ商品ship!A:A,0)),
                                    INDEX([2]NV!D:D,MATCH(A77,[2]NV!C:C,0))
                                )
                            )
                        )
                    )
                )
            )
        )
    )
)</f>
        <v>パワー太刀魚75 ｶﾗｰﾛｰﾃｰｼｮﾝﾊﾟｯｸ</v>
      </c>
      <c r="C77" s="4" t="s">
        <v>4</v>
      </c>
      <c r="D77" s="10" t="str">
        <f t="shared" si="3"/>
        <v>パワー太刀魚75 ｶﾗｰﾛｰﾃｰｼｮﾝﾊﾟｯｸ ｜ 1F釣具部屋【04】 ｜ K</v>
      </c>
      <c r="E77" s="11" t="str">
        <f t="shared" si="4"/>
        <v>1F釣具部屋</v>
      </c>
      <c r="F77" s="12" t="s">
        <v>21</v>
      </c>
      <c r="G77" s="11" t="str">
        <f t="shared" si="5"/>
        <v>04・1F釣具部屋K</v>
      </c>
      <c r="H77" s="3"/>
    </row>
    <row r="78" spans="1:8" ht="15" customHeight="1" x14ac:dyDescent="0.2">
      <c r="A78" s="10" t="s">
        <v>275</v>
      </c>
      <c r="B78" s="10" t="str">
        <f>IFERROR(
    INDEX([1]FSHIP!B:B,MATCH(A78,[1]FSHIP!A:A,0)),
    IFERROR(
        INDEX([1]釣具商品ship!B:B,MATCH(A78,[1]釣具商品ship!A:A,0)),
        IFERROR(
            INDEX([1]玩具商品ship!B:B,MATCH(A78,[1]玩具商品ship!A:A,0)),
            IFERROR(
                INDEX([1]OEMship!B:B,MATCH(A78,[1]OEMship!A:A,0)),
                IFERROR(
                    INDEX([1]NV6ship!B:B,MATCH(A78,[1]NV6ship!A:A,0)),
                    IFERROR(
                        INDEX([1]NVship!B:B,MATCH(A78,[1]NVship!A:A,0)),
                        IFERROR(
                            INDEX([1]海ship!B:B,MATCH(A78,[1]海ship!A:A,0)),
                            IFERROR(
                                INDEX([1]ｾﾚship!B:B,MATCH(A78,[1]ｾﾚship!A:A,0)),
                                IFERROR(
                                    INDEX([1]ｾﾚﾓﾆｰ商品ship!B:B,MATCH(A78,[1]ｾﾚﾓﾆｰ商品ship!A:A,0)),
                                    INDEX([2]NV!D:D,MATCH(A78,[2]NV!C:C,0))
                                )
                            )
                        )
                    )
                )
            )
        )
    )
)</f>
        <v>パワー太刀魚75 ピンク(2本入)</v>
      </c>
      <c r="C78" s="4" t="s">
        <v>4</v>
      </c>
      <c r="D78" s="10" t="str">
        <f t="shared" si="3"/>
        <v>パワー太刀魚75 ピンク(2本入) ｜ 1F釣具部屋【04】 ｜ K</v>
      </c>
      <c r="E78" s="11" t="str">
        <f t="shared" si="4"/>
        <v>1F釣具部屋</v>
      </c>
      <c r="F78" s="12" t="s">
        <v>21</v>
      </c>
      <c r="G78" s="11" t="str">
        <f t="shared" si="5"/>
        <v>04・1F釣具部屋K</v>
      </c>
      <c r="H78" s="3"/>
    </row>
    <row r="79" spans="1:8" ht="15" customHeight="1" x14ac:dyDescent="0.2">
      <c r="A79" s="10" t="s">
        <v>270</v>
      </c>
      <c r="B79" s="10" t="str">
        <f>IFERROR(
    INDEX([1]FSHIP!B:B,MATCH(A79,[1]FSHIP!A:A,0)),
    IFERROR(
        INDEX([1]釣具商品ship!B:B,MATCH(A79,[1]釣具商品ship!A:A,0)),
        IFERROR(
            INDEX([1]玩具商品ship!B:B,MATCH(A79,[1]玩具商品ship!A:A,0)),
            IFERROR(
                INDEX([1]OEMship!B:B,MATCH(A79,[1]OEMship!A:A,0)),
                IFERROR(
                    INDEX([1]NV6ship!B:B,MATCH(A79,[1]NV6ship!A:A,0)),
                    IFERROR(
                        INDEX([1]NVship!B:B,MATCH(A79,[1]NVship!A:A,0)),
                        IFERROR(
                            INDEX([1]海ship!B:B,MATCH(A79,[1]海ship!A:A,0)),
                            IFERROR(
                                INDEX([1]ｾﾚship!B:B,MATCH(A79,[1]ｾﾚship!A:A,0)),
                                IFERROR(
                                    INDEX([1]ｾﾚﾓﾆｰ商品ship!B:B,MATCH(A79,[1]ｾﾚﾓﾆｰ商品ship!A:A,0)),
                                    INDEX([2]NV!D:D,MATCH(A79,[2]NV!C:C,0))
                                )
                            )
                        )
                    )
                )
            )
        )
    )
)</f>
        <v>パワー太刀魚75 ブルー(2本入）</v>
      </c>
      <c r="C79" s="4" t="s">
        <v>4</v>
      </c>
      <c r="D79" s="10" t="str">
        <f t="shared" si="3"/>
        <v>パワー太刀魚75 ブルー(2本入） ｜ 1F釣具部屋【04】 ｜ K</v>
      </c>
      <c r="E79" s="11" t="str">
        <f t="shared" si="4"/>
        <v>1F釣具部屋</v>
      </c>
      <c r="F79" s="12" t="s">
        <v>21</v>
      </c>
      <c r="G79" s="11" t="str">
        <f t="shared" si="5"/>
        <v>04・1F釣具部屋K</v>
      </c>
      <c r="H79" s="3"/>
    </row>
    <row r="80" spans="1:8" ht="15" customHeight="1" x14ac:dyDescent="0.2">
      <c r="A80" s="10" t="s">
        <v>302</v>
      </c>
      <c r="B80" s="10" t="str">
        <f>IFERROR(
    INDEX([1]FSHIP!B:B,MATCH(A80,[1]FSHIP!A:A,0)),
    IFERROR(
        INDEX([1]釣具商品ship!B:B,MATCH(A80,[1]釣具商品ship!A:A,0)),
        IFERROR(
            INDEX([1]玩具商品ship!B:B,MATCH(A80,[1]玩具商品ship!A:A,0)),
            IFERROR(
                INDEX([1]OEMship!B:B,MATCH(A80,[1]OEMship!A:A,0)),
                IFERROR(
                    INDEX([1]NV6ship!B:B,MATCH(A80,[1]NV6ship!A:A,0)),
                    IFERROR(
                        INDEX([1]NVship!B:B,MATCH(A80,[1]NVship!A:A,0)),
                        IFERROR(
                            INDEX([1]海ship!B:B,MATCH(A80,[1]海ship!A:A,0)),
                            IFERROR(
                                INDEX([1]ｾﾚship!B:B,MATCH(A80,[1]ｾﾚship!A:A,0)),
                                IFERROR(
                                    INDEX([1]ｾﾚﾓﾆｰ商品ship!B:B,MATCH(A80,[1]ｾﾚﾓﾆｰ商品ship!A:A,0)),
                                    INDEX([2]NV!D:D,MATCH(A80,[2]NV!C:C,0))
                                )
                            )
                        )
                    )
                )
            )
        )
    )
)</f>
        <v>いか ６インチ　GREEN</v>
      </c>
      <c r="C80" s="4" t="s">
        <v>1</v>
      </c>
      <c r="D80" s="10" t="str">
        <f t="shared" si="3"/>
        <v>いか ６インチ　GREEN ｜ 1F釣具部屋【04】 ｜ L</v>
      </c>
      <c r="E80" s="11" t="str">
        <f t="shared" si="4"/>
        <v>1F釣具部屋</v>
      </c>
      <c r="F80" s="12" t="s">
        <v>21</v>
      </c>
      <c r="G80" s="11" t="str">
        <f t="shared" si="5"/>
        <v>04・1F釣具部屋L</v>
      </c>
      <c r="H80" s="3"/>
    </row>
    <row r="81" spans="1:8" ht="15" customHeight="1" x14ac:dyDescent="0.2">
      <c r="A81" s="10" t="s">
        <v>47</v>
      </c>
      <c r="B81" s="10" t="str">
        <f>IFERROR(
    INDEX([1]FSHIP!B:B,MATCH(A81,[1]FSHIP!A:A,0)),
    IFERROR(
        INDEX([1]釣具商品ship!B:B,MATCH(A81,[1]釣具商品ship!A:A,0)),
        IFERROR(
            INDEX([1]玩具商品ship!B:B,MATCH(A81,[1]玩具商品ship!A:A,0)),
            IFERROR(
                INDEX([1]OEMship!B:B,MATCH(A81,[1]OEMship!A:A,0)),
                IFERROR(
                    INDEX([1]NV6ship!B:B,MATCH(A81,[1]NV6ship!A:A,0)),
                    IFERROR(
                        INDEX([1]NVship!B:B,MATCH(A81,[1]NVship!A:A,0)),
                        IFERROR(
                            INDEX([1]海ship!B:B,MATCH(A81,[1]海ship!A:A,0)),
                            IFERROR(
                                INDEX([1]ｾﾚship!B:B,MATCH(A81,[1]ｾﾚship!A:A,0)),
                                IFERROR(
                                    INDEX([1]ｾﾚﾓﾆｰ商品ship!B:B,MATCH(A81,[1]ｾﾚﾓﾆｰ商品ship!A:A,0)),
                                    INDEX([2]NV!D:D,MATCH(A81,[2]NV!C:C,0))
                                )
                            )
                        )
                    )
                )
            )
        )
    )
)</f>
        <v>クイック糸巻</v>
      </c>
      <c r="C81" s="4" t="s">
        <v>9</v>
      </c>
      <c r="D81" s="10" t="str">
        <f t="shared" si="3"/>
        <v>クイック糸巻 ｜ 1F釣具部屋【04】 ｜ B</v>
      </c>
      <c r="E81" s="11" t="str">
        <f t="shared" si="4"/>
        <v>1F釣具部屋</v>
      </c>
      <c r="F81" s="12" t="s">
        <v>21</v>
      </c>
      <c r="G81" s="11" t="str">
        <f t="shared" si="5"/>
        <v>04・1F釣具部屋B</v>
      </c>
      <c r="H81" s="3"/>
    </row>
    <row r="82" spans="1:8" ht="15" customHeight="1" x14ac:dyDescent="0.2">
      <c r="A82" s="10" t="s">
        <v>69</v>
      </c>
      <c r="B82" s="10" t="str">
        <f>IFERROR(
    INDEX([1]FSHIP!B:B,MATCH(A82,[1]FSHIP!A:A,0)),
    IFERROR(
        INDEX([1]釣具商品ship!B:B,MATCH(A82,[1]釣具商品ship!A:A,0)),
        IFERROR(
            INDEX([1]玩具商品ship!B:B,MATCH(A82,[1]玩具商品ship!A:A,0)),
            IFERROR(
                INDEX([1]OEMship!B:B,MATCH(A82,[1]OEMship!A:A,0)),
                IFERROR(
                    INDEX([1]NV6ship!B:B,MATCH(A82,[1]NV6ship!A:A,0)),
                    IFERROR(
                        INDEX([1]NVship!B:B,MATCH(A82,[1]NVship!A:A,0)),
                        IFERROR(
                            INDEX([1]海ship!B:B,MATCH(A82,[1]海ship!A:A,0)),
                            IFERROR(
                                INDEX([1]ｾﾚship!B:B,MATCH(A82,[1]ｾﾚship!A:A,0)),
                                IFERROR(
                                    INDEX([1]ｾﾚﾓﾆｰ商品ship!B:B,MATCH(A82,[1]ｾﾚﾓﾆｰ商品ship!A:A,0)),
                                    INDEX([2]NV!D:D,MATCH(A82,[2]NV!C:C,0))
                                )
                            )
                        )
                    )
                )
            )
        )
    )
)</f>
        <v>Xtradaケミホルダー　ﾋﾟｭｱﾎﾜｲﾄ</v>
      </c>
      <c r="C82" s="4" t="s">
        <v>5</v>
      </c>
      <c r="D82" s="10" t="str">
        <f t="shared" si="3"/>
        <v>Xtradaケミホルダー　ﾋﾟｭｱﾎﾜｲﾄ ｜ 1F釣具部屋【04】 ｜ D</v>
      </c>
      <c r="E82" s="11" t="str">
        <f t="shared" si="4"/>
        <v>1F釣具部屋</v>
      </c>
      <c r="F82" s="12" t="s">
        <v>21</v>
      </c>
      <c r="G82" s="11" t="str">
        <f t="shared" si="5"/>
        <v>04・1F釣具部屋D</v>
      </c>
      <c r="H82" s="3"/>
    </row>
    <row r="83" spans="1:8" ht="15" customHeight="1" x14ac:dyDescent="0.2">
      <c r="A83" s="10" t="s">
        <v>70</v>
      </c>
      <c r="B83" s="10" t="str">
        <f>IFERROR(
    INDEX([1]FSHIP!B:B,MATCH(A83,[1]FSHIP!A:A,0)),
    IFERROR(
        INDEX([1]釣具商品ship!B:B,MATCH(A83,[1]釣具商品ship!A:A,0)),
        IFERROR(
            INDEX([1]玩具商品ship!B:B,MATCH(A83,[1]玩具商品ship!A:A,0)),
            IFERROR(
                INDEX([1]OEMship!B:B,MATCH(A83,[1]OEMship!A:A,0)),
                IFERROR(
                    INDEX([1]NV6ship!B:B,MATCH(A83,[1]NV6ship!A:A,0)),
                    IFERROR(
                        INDEX([1]NVship!B:B,MATCH(A83,[1]NVship!A:A,0)),
                        IFERROR(
                            INDEX([1]海ship!B:B,MATCH(A83,[1]海ship!A:A,0)),
                            IFERROR(
                                INDEX([1]ｾﾚship!B:B,MATCH(A83,[1]ｾﾚship!A:A,0)),
                                IFERROR(
                                    INDEX([1]ｾﾚﾓﾆｰ商品ship!B:B,MATCH(A83,[1]ｾﾚﾓﾆｰ商品ship!A:A,0)),
                                    INDEX([2]NV!D:D,MATCH(A83,[2]NV!C:C,0))
                                )
                            )
                        )
                    )
                )
            )
        )
    )
)</f>
        <v>Xtradaケミホルダー　ﾗｲﾑｸﾞﾘｰﾝ</v>
      </c>
      <c r="C83" s="4" t="s">
        <v>5</v>
      </c>
      <c r="D83" s="10" t="str">
        <f t="shared" si="3"/>
        <v>Xtradaケミホルダー　ﾗｲﾑｸﾞﾘｰﾝ ｜ 1F釣具部屋【04】 ｜ D</v>
      </c>
      <c r="E83" s="11" t="str">
        <f t="shared" si="4"/>
        <v>1F釣具部屋</v>
      </c>
      <c r="F83" s="12" t="s">
        <v>21</v>
      </c>
      <c r="G83" s="11" t="str">
        <f t="shared" si="5"/>
        <v>04・1F釣具部屋D</v>
      </c>
      <c r="H83" s="3"/>
    </row>
    <row r="84" spans="1:8" ht="15" customHeight="1" x14ac:dyDescent="0.2">
      <c r="A84" s="10" t="s">
        <v>71</v>
      </c>
      <c r="B84" s="10" t="str">
        <f>IFERROR(
    INDEX([1]FSHIP!B:B,MATCH(A84,[1]FSHIP!A:A,0)),
    IFERROR(
        INDEX([1]釣具商品ship!B:B,MATCH(A84,[1]釣具商品ship!A:A,0)),
        IFERROR(
            INDEX([1]玩具商品ship!B:B,MATCH(A84,[1]玩具商品ship!A:A,0)),
            IFERROR(
                INDEX([1]OEMship!B:B,MATCH(A84,[1]OEMship!A:A,0)),
                IFERROR(
                    INDEX([1]NV6ship!B:B,MATCH(A84,[1]NV6ship!A:A,0)),
                    IFERROR(
                        INDEX([1]NVship!B:B,MATCH(A84,[1]NVship!A:A,0)),
                        IFERROR(
                            INDEX([1]海ship!B:B,MATCH(A84,[1]海ship!A:A,0)),
                            IFERROR(
                                INDEX([1]ｾﾚship!B:B,MATCH(A84,[1]ｾﾚship!A:A,0)),
                                IFERROR(
                                    INDEX([1]ｾﾚﾓﾆｰ商品ship!B:B,MATCH(A84,[1]ｾﾚﾓﾆｰ商品ship!A:A,0)),
                                    INDEX([2]NV!D:D,MATCH(A84,[2]NV!C:C,0))
                                )
                            )
                        )
                    )
                )
            )
        )
    )
)</f>
        <v>寄ってこい ラトルスティック25</v>
      </c>
      <c r="C84" s="4" t="s">
        <v>5</v>
      </c>
      <c r="D84" s="10" t="str">
        <f t="shared" si="3"/>
        <v>寄ってこい ラトルスティック25 ｜ 1F釣具部屋【04】 ｜ D</v>
      </c>
      <c r="E84" s="11" t="str">
        <f t="shared" si="4"/>
        <v>1F釣具部屋</v>
      </c>
      <c r="F84" s="12" t="s">
        <v>21</v>
      </c>
      <c r="G84" s="11" t="str">
        <f t="shared" si="5"/>
        <v>04・1F釣具部屋D</v>
      </c>
      <c r="H84" s="3"/>
    </row>
    <row r="85" spans="1:8" ht="15" customHeight="1" x14ac:dyDescent="0.2">
      <c r="A85" s="10" t="s">
        <v>72</v>
      </c>
      <c r="B85" s="10" t="str">
        <f>IFERROR(
    INDEX([1]FSHIP!B:B,MATCH(A85,[1]FSHIP!A:A,0)),
    IFERROR(
        INDEX([1]釣具商品ship!B:B,MATCH(A85,[1]釣具商品ship!A:A,0)),
        IFERROR(
            INDEX([1]玩具商品ship!B:B,MATCH(A85,[1]玩具商品ship!A:A,0)),
            IFERROR(
                INDEX([1]OEMship!B:B,MATCH(A85,[1]OEMship!A:A,0)),
                IFERROR(
                    INDEX([1]NV6ship!B:B,MATCH(A85,[1]NV6ship!A:A,0)),
                    IFERROR(
                        INDEX([1]NVship!B:B,MATCH(A85,[1]NVship!A:A,0)),
                        IFERROR(
                            INDEX([1]海ship!B:B,MATCH(A85,[1]海ship!A:A,0)),
                            IFERROR(
                                INDEX([1]ｾﾚship!B:B,MATCH(A85,[1]ｾﾚship!A:A,0)),
                                IFERROR(
                                    INDEX([1]ｾﾚﾓﾆｰ商品ship!B:B,MATCH(A85,[1]ｾﾚﾓﾆｰ商品ship!A:A,0)),
                                    INDEX([2]NV!D:D,MATCH(A85,[2]NV!C:C,0))
                                )
                            )
                        )
                    )
                )
            )
        )
    )
)</f>
        <v>寄ってこい ラトルスティック37</v>
      </c>
      <c r="C85" s="4" t="s">
        <v>5</v>
      </c>
      <c r="D85" s="10" t="str">
        <f t="shared" si="3"/>
        <v>寄ってこい ラトルスティック37 ｜ 1F釣具部屋【04】 ｜ D</v>
      </c>
      <c r="E85" s="11" t="str">
        <f t="shared" si="4"/>
        <v>1F釣具部屋</v>
      </c>
      <c r="F85" s="12" t="s">
        <v>21</v>
      </c>
      <c r="G85" s="11" t="str">
        <f t="shared" si="5"/>
        <v>04・1F釣具部屋D</v>
      </c>
      <c r="H85" s="3"/>
    </row>
    <row r="86" spans="1:8" ht="15" customHeight="1" x14ac:dyDescent="0.2">
      <c r="A86" s="10" t="s">
        <v>49</v>
      </c>
      <c r="B86" s="10" t="str">
        <f>IFERROR(
    INDEX([1]FSHIP!B:B,MATCH(A86,[1]FSHIP!A:A,0)),
    IFERROR(
        INDEX([1]釣具商品ship!B:B,MATCH(A86,[1]釣具商品ship!A:A,0)),
        IFERROR(
            INDEX([1]玩具商品ship!B:B,MATCH(A86,[1]玩具商品ship!A:A,0)),
            IFERROR(
                INDEX([1]OEMship!B:B,MATCH(A86,[1]OEMship!A:A,0)),
                IFERROR(
                    INDEX([1]NV6ship!B:B,MATCH(A86,[1]NV6ship!A:A,0)),
                    IFERROR(
                        INDEX([1]NVship!B:B,MATCH(A86,[1]NVship!A:A,0)),
                        IFERROR(
                            INDEX([1]海ship!B:B,MATCH(A86,[1]海ship!A:A,0)),
                            IFERROR(
                                INDEX([1]ｾﾚship!B:B,MATCH(A86,[1]ｾﾚship!A:A,0)),
                                IFERROR(
                                    INDEX([1]ｾﾚﾓﾆｰ商品ship!B:B,MATCH(A86,[1]ｾﾚﾓﾆｰ商品ship!A:A,0)),
                                    INDEX([2]NV!D:D,MATCH(A86,[2]NV!C:C,0))
                                )
                            )
                        )
                    )
                )
            )
        )
    )
)</f>
        <v>寄ってこい 集魚ホルダー37</v>
      </c>
      <c r="C86" s="4" t="s">
        <v>7</v>
      </c>
      <c r="D86" s="10" t="str">
        <f t="shared" si="3"/>
        <v>寄ってこい 集魚ホルダー37 ｜ 1F釣具部屋【04】 ｜ C</v>
      </c>
      <c r="E86" s="11" t="str">
        <f t="shared" si="4"/>
        <v>1F釣具部屋</v>
      </c>
      <c r="F86" s="12" t="s">
        <v>21</v>
      </c>
      <c r="G86" s="11" t="str">
        <f t="shared" si="5"/>
        <v>04・1F釣具部屋C</v>
      </c>
      <c r="H86" s="3"/>
    </row>
    <row r="87" spans="1:8" ht="15" customHeight="1" x14ac:dyDescent="0.2">
      <c r="A87" s="10" t="s">
        <v>50</v>
      </c>
      <c r="B87" s="10" t="str">
        <f>IFERROR(
    INDEX([1]FSHIP!B:B,MATCH(A87,[1]FSHIP!A:A,0)),
    IFERROR(
        INDEX([1]釣具商品ship!B:B,MATCH(A87,[1]釣具商品ship!A:A,0)),
        IFERROR(
            INDEX([1]玩具商品ship!B:B,MATCH(A87,[1]玩具商品ship!A:A,0)),
            IFERROR(
                INDEX([1]OEMship!B:B,MATCH(A87,[1]OEMship!A:A,0)),
                IFERROR(
                    INDEX([1]NV6ship!B:B,MATCH(A87,[1]NV6ship!A:A,0)),
                    IFERROR(
                        INDEX([1]NVship!B:B,MATCH(A87,[1]NVship!A:A,0)),
                        IFERROR(
                            INDEX([1]海ship!B:B,MATCH(A87,[1]海ship!A:A,0)),
                            IFERROR(
                                INDEX([1]ｾﾚship!B:B,MATCH(A87,[1]ｾﾚship!A:A,0)),
                                IFERROR(
                                    INDEX([1]ｾﾚﾓﾆｰ商品ship!B:B,MATCH(A87,[1]ｾﾚﾓﾆｰ商品ship!A:A,0)),
                                    INDEX([2]NV!D:D,MATCH(A87,[2]NV!C:C,0))
                                )
                            )
                        )
                    )
                )
            )
        )
    )
)</f>
        <v>寄ってこい 集魚ホルダー50</v>
      </c>
      <c r="C87" s="4" t="s">
        <v>7</v>
      </c>
      <c r="D87" s="10" t="str">
        <f t="shared" si="3"/>
        <v>寄ってこい 集魚ホルダー50 ｜ 1F釣具部屋【04】 ｜ C</v>
      </c>
      <c r="E87" s="11" t="str">
        <f t="shared" si="4"/>
        <v>1F釣具部屋</v>
      </c>
      <c r="F87" s="12" t="s">
        <v>21</v>
      </c>
      <c r="G87" s="11" t="str">
        <f t="shared" si="5"/>
        <v>04・1F釣具部屋C</v>
      </c>
      <c r="H87" s="3"/>
    </row>
    <row r="88" spans="1:8" ht="15" customHeight="1" x14ac:dyDescent="0.2">
      <c r="A88" s="10" t="s">
        <v>303</v>
      </c>
      <c r="B88" s="10" t="str">
        <f>IFERROR(
    INDEX([1]FSHIP!B:B,MATCH(A88,[1]FSHIP!A:A,0)),
    IFERROR(
        INDEX([1]釣具商品ship!B:B,MATCH(A88,[1]釣具商品ship!A:A,0)),
        IFERROR(
            INDEX([1]玩具商品ship!B:B,MATCH(A88,[1]玩具商品ship!A:A,0)),
            IFERROR(
                INDEX([1]OEMship!B:B,MATCH(A88,[1]OEMship!A:A,0)),
                IFERROR(
                    INDEX([1]NV6ship!B:B,MATCH(A88,[1]NV6ship!A:A,0)),
                    IFERROR(
                        INDEX([1]NVship!B:B,MATCH(A88,[1]NVship!A:A,0)),
                        IFERROR(
                            INDEX([1]海ship!B:B,MATCH(A88,[1]海ship!A:A,0)),
                            IFERROR(
                                INDEX([1]ｾﾚship!B:B,MATCH(A88,[1]ｾﾚship!A:A,0)),
                                IFERROR(
                                    INDEX([1]ｾﾚﾓﾆｰ商品ship!B:B,MATCH(A88,[1]ｾﾚﾓﾆｰ商品ship!A:A,0)),
                                    INDEX([2]NV!D:D,MATCH(A88,[2]NV!C:C,0))
                                )
                            )
                        )
                    )
                )
            )
        )
    )
)</f>
        <v>新鮮イカパック</v>
      </c>
      <c r="C88" s="4" t="s">
        <v>1</v>
      </c>
      <c r="D88" s="10" t="str">
        <f t="shared" si="3"/>
        <v>新鮮イカパック ｜ 1F釣具部屋【04】 ｜ L</v>
      </c>
      <c r="E88" s="11" t="str">
        <f t="shared" si="4"/>
        <v>1F釣具部屋</v>
      </c>
      <c r="F88" s="12" t="s">
        <v>21</v>
      </c>
      <c r="G88" s="11" t="str">
        <f t="shared" si="5"/>
        <v>04・1F釣具部屋L</v>
      </c>
      <c r="H88" s="3"/>
    </row>
    <row r="89" spans="1:8" ht="15" customHeight="1" x14ac:dyDescent="0.2">
      <c r="A89" s="10" t="s">
        <v>20</v>
      </c>
      <c r="B89" s="10" t="str">
        <f>IFERROR(
    INDEX([1]FSHIP!B:B,MATCH(A89,[1]FSHIP!A:A,0)),
    IFERROR(
        INDEX([1]釣具商品ship!B:B,MATCH(A89,[1]釣具商品ship!A:A,0)),
        IFERROR(
            INDEX([1]玩具商品ship!B:B,MATCH(A89,[1]玩具商品ship!A:A,0)),
            IFERROR(
                INDEX([1]OEMship!B:B,MATCH(A89,[1]OEMship!A:A,0)),
                IFERROR(
                    INDEX([1]NV6ship!B:B,MATCH(A89,[1]NV6ship!A:A,0)),
                    IFERROR(
                        INDEX([1]NVship!B:B,MATCH(A89,[1]NVship!A:A,0)),
                        IFERROR(
                            INDEX([1]海ship!B:B,MATCH(A89,[1]海ship!A:A,0)),
                            IFERROR(
                                INDEX([1]ｾﾚship!B:B,MATCH(A89,[1]ｾﾚship!A:A,0)),
                                IFERROR(
                                    INDEX([1]ｾﾚﾓﾆｰ商品ship!B:B,MATCH(A89,[1]ｾﾚﾓﾆｰ商品ship!A:A,0)),
                                    INDEX([2]NV!D:D,MATCH(A89,[2]NV!C:C,0))
                                )
                            )
                        )
                    )
                )
            )
        )
    )
)</f>
        <v>神経締めロング</v>
      </c>
      <c r="C89" s="4" t="s">
        <v>11</v>
      </c>
      <c r="D89" s="10" t="str">
        <f t="shared" si="3"/>
        <v>神経締めロング ｜ 1F釣具部屋【04】 ｜ A</v>
      </c>
      <c r="E89" s="11" t="str">
        <f t="shared" si="4"/>
        <v>1F釣具部屋</v>
      </c>
      <c r="F89" s="12" t="s">
        <v>21</v>
      </c>
      <c r="G89" s="11" t="str">
        <f t="shared" si="5"/>
        <v>04・1F釣具部屋A</v>
      </c>
      <c r="H89" s="3"/>
    </row>
    <row r="90" spans="1:8" ht="15" customHeight="1" x14ac:dyDescent="0.2">
      <c r="A90" s="10" t="s">
        <v>23</v>
      </c>
      <c r="B90" s="10" t="str">
        <f>IFERROR(
    INDEX([1]FSHIP!B:B,MATCH(A90,[1]FSHIP!A:A,0)),
    IFERROR(
        INDEX([1]釣具商品ship!B:B,MATCH(A90,[1]釣具商品ship!A:A,0)),
        IFERROR(
            INDEX([1]玩具商品ship!B:B,MATCH(A90,[1]玩具商品ship!A:A,0)),
            IFERROR(
                INDEX([1]OEMship!B:B,MATCH(A90,[1]OEMship!A:A,0)),
                IFERROR(
                    INDEX([1]NV6ship!B:B,MATCH(A90,[1]NV6ship!A:A,0)),
                    IFERROR(
                        INDEX([1]NVship!B:B,MATCH(A90,[1]NVship!A:A,0)),
                        IFERROR(
                            INDEX([1]海ship!B:B,MATCH(A90,[1]海ship!A:A,0)),
                            IFERROR(
                                INDEX([1]ｾﾚship!B:B,MATCH(A90,[1]ｾﾚship!A:A,0)),
                                IFERROR(
                                    INDEX([1]ｾﾚﾓﾆｰ商品ship!B:B,MATCH(A90,[1]ｾﾚﾓﾆｰ商品ship!A:A,0)),
                                    INDEX([2]NV!D:D,MATCH(A90,[2]NV!C:C,0))
                                )
                            )
                        )
                    )
                )
            )
        )
    )
)</f>
        <v>神経締めセット　ショート</v>
      </c>
      <c r="C90" s="4" t="s">
        <v>11</v>
      </c>
      <c r="D90" s="10" t="str">
        <f t="shared" si="3"/>
        <v>神経締めセット　ショート ｜ 1F釣具部屋【04】 ｜ A</v>
      </c>
      <c r="E90" s="11" t="str">
        <f t="shared" si="4"/>
        <v>1F釣具部屋</v>
      </c>
      <c r="F90" s="12" t="s">
        <v>21</v>
      </c>
      <c r="G90" s="11" t="str">
        <f t="shared" si="5"/>
        <v>04・1F釣具部屋A</v>
      </c>
      <c r="H90" s="3"/>
    </row>
    <row r="91" spans="1:8" ht="15" customHeight="1" x14ac:dyDescent="0.2">
      <c r="A91" s="10" t="s">
        <v>73</v>
      </c>
      <c r="B91" s="10" t="str">
        <f>IFERROR(
    INDEX([1]FSHIP!B:B,MATCH(A91,[1]FSHIP!A:A,0)),
    IFERROR(
        INDEX([1]釣具商品ship!B:B,MATCH(A91,[1]釣具商品ship!A:A,0)),
        IFERROR(
            INDEX([1]玩具商品ship!B:B,MATCH(A91,[1]玩具商品ship!A:A,0)),
            IFERROR(
                INDEX([1]OEMship!B:B,MATCH(A91,[1]OEMship!A:A,0)),
                IFERROR(
                    INDEX([1]NV6ship!B:B,MATCH(A91,[1]NV6ship!A:A,0)),
                    IFERROR(
                        INDEX([1]NVship!B:B,MATCH(A91,[1]NVship!A:A,0)),
                        IFERROR(
                            INDEX([1]海ship!B:B,MATCH(A91,[1]海ship!A:A,0)),
                            IFERROR(
                                INDEX([1]ｾﾚship!B:B,MATCH(A91,[1]ｾﾚship!A:A,0)),
                                IFERROR(
                                    INDEX([1]ｾﾚﾓﾆｰ商品ship!B:B,MATCH(A91,[1]ｾﾚﾓﾆｰ商品ship!A:A,0)),
                                    INDEX([2]NV!D:D,MATCH(A91,[2]NV!C:C,0))
                                )
                            )
                        )
                    )
                )
            )
        )
    )
)</f>
        <v>寄ってこい 光略ｶｽﾀﾑｼﾝｶｰ25号 ﾈｵﾝｲｴﾛｰ</v>
      </c>
      <c r="C91" s="4" t="s">
        <v>5</v>
      </c>
      <c r="D91" s="10" t="str">
        <f t="shared" si="3"/>
        <v>寄ってこい 光略ｶｽﾀﾑｼﾝｶｰ25号 ﾈｵﾝｲｴﾛｰ ｜ 1F釣具部屋【04】 ｜ D</v>
      </c>
      <c r="E91" s="11" t="str">
        <f t="shared" si="4"/>
        <v>1F釣具部屋</v>
      </c>
      <c r="F91" s="12" t="s">
        <v>21</v>
      </c>
      <c r="G91" s="11" t="str">
        <f t="shared" si="5"/>
        <v>04・1F釣具部屋D</v>
      </c>
      <c r="H91" s="3"/>
    </row>
    <row r="92" spans="1:8" ht="15" customHeight="1" x14ac:dyDescent="0.2">
      <c r="A92" s="10" t="s">
        <v>74</v>
      </c>
      <c r="B92" s="10" t="str">
        <f>IFERROR(
    INDEX([1]FSHIP!B:B,MATCH(A92,[1]FSHIP!A:A,0)),
    IFERROR(
        INDEX([1]釣具商品ship!B:B,MATCH(A92,[1]釣具商品ship!A:A,0)),
        IFERROR(
            INDEX([1]玩具商品ship!B:B,MATCH(A92,[1]玩具商品ship!A:A,0)),
            IFERROR(
                INDEX([1]OEMship!B:B,MATCH(A92,[1]OEMship!A:A,0)),
                IFERROR(
                    INDEX([1]NV6ship!B:B,MATCH(A92,[1]NV6ship!A:A,0)),
                    IFERROR(
                        INDEX([1]NVship!B:B,MATCH(A92,[1]NVship!A:A,0)),
                        IFERROR(
                            INDEX([1]海ship!B:B,MATCH(A92,[1]海ship!A:A,0)),
                            IFERROR(
                                INDEX([1]ｾﾚship!B:B,MATCH(A92,[1]ｾﾚship!A:A,0)),
                                IFERROR(
                                    INDEX([1]ｾﾚﾓﾆｰ商品ship!B:B,MATCH(A92,[1]ｾﾚﾓﾆｰ商品ship!A:A,0)),
                                    INDEX([2]NV!D:D,MATCH(A92,[2]NV!C:C,0))
                                )
                            )
                        )
                    )
                )
            )
        )
    )
)</f>
        <v>寄ってこい 光略ｶｽﾀﾑｼﾝｶｰ25号 ﾋﾟｰﾁｸﾞﾛｰ</v>
      </c>
      <c r="C92" s="4" t="s">
        <v>5</v>
      </c>
      <c r="D92" s="10" t="str">
        <f t="shared" si="3"/>
        <v>寄ってこい 光略ｶｽﾀﾑｼﾝｶｰ25号 ﾋﾟｰﾁｸﾞﾛｰ ｜ 1F釣具部屋【04】 ｜ D</v>
      </c>
      <c r="E92" s="11" t="str">
        <f t="shared" si="4"/>
        <v>1F釣具部屋</v>
      </c>
      <c r="F92" s="12" t="s">
        <v>21</v>
      </c>
      <c r="G92" s="11" t="str">
        <f t="shared" si="5"/>
        <v>04・1F釣具部屋D</v>
      </c>
      <c r="H92" s="3"/>
    </row>
    <row r="93" spans="1:8" ht="15" customHeight="1" x14ac:dyDescent="0.2">
      <c r="A93" s="10" t="s">
        <v>75</v>
      </c>
      <c r="B93" s="10" t="str">
        <f>IFERROR(
    INDEX([1]FSHIP!B:B,MATCH(A93,[1]FSHIP!A:A,0)),
    IFERROR(
        INDEX([1]釣具商品ship!B:B,MATCH(A93,[1]釣具商品ship!A:A,0)),
        IFERROR(
            INDEX([1]玩具商品ship!B:B,MATCH(A93,[1]玩具商品ship!A:A,0)),
            IFERROR(
                INDEX([1]OEMship!B:B,MATCH(A93,[1]OEMship!A:A,0)),
                IFERROR(
                    INDEX([1]NV6ship!B:B,MATCH(A93,[1]NV6ship!A:A,0)),
                    IFERROR(
                        INDEX([1]NVship!B:B,MATCH(A93,[1]NVship!A:A,0)),
                        IFERROR(
                            INDEX([1]海ship!B:B,MATCH(A93,[1]海ship!A:A,0)),
                            IFERROR(
                                INDEX([1]ｾﾚship!B:B,MATCH(A93,[1]ｾﾚship!A:A,0)),
                                IFERROR(
                                    INDEX([1]ｾﾚﾓﾆｰ商品ship!B:B,MATCH(A93,[1]ｾﾚﾓﾆｰ商品ship!A:A,0)),
                                    INDEX([2]NV!D:D,MATCH(A93,[2]NV!C:C,0))
                                )
                            )
                        )
                    )
                )
            )
        )
    )
)</f>
        <v>寄ってこい 光略ｶｽﾀﾑｼﾝｶｰ30号 ﾈｵﾝｲｴﾛｰ</v>
      </c>
      <c r="C93" s="4" t="s">
        <v>5</v>
      </c>
      <c r="D93" s="10" t="str">
        <f t="shared" si="3"/>
        <v>寄ってこい 光略ｶｽﾀﾑｼﾝｶｰ30号 ﾈｵﾝｲｴﾛｰ ｜ 1F釣具部屋【04】 ｜ D</v>
      </c>
      <c r="E93" s="11" t="str">
        <f t="shared" si="4"/>
        <v>1F釣具部屋</v>
      </c>
      <c r="F93" s="12" t="s">
        <v>21</v>
      </c>
      <c r="G93" s="11" t="str">
        <f t="shared" si="5"/>
        <v>04・1F釣具部屋D</v>
      </c>
      <c r="H93" s="3"/>
    </row>
    <row r="94" spans="1:8" ht="15" customHeight="1" x14ac:dyDescent="0.2">
      <c r="A94" s="10" t="s">
        <v>76</v>
      </c>
      <c r="B94" s="10" t="str">
        <f>IFERROR(
    INDEX([1]FSHIP!B:B,MATCH(A94,[1]FSHIP!A:A,0)),
    IFERROR(
        INDEX([1]釣具商品ship!B:B,MATCH(A94,[1]釣具商品ship!A:A,0)),
        IFERROR(
            INDEX([1]玩具商品ship!B:B,MATCH(A94,[1]玩具商品ship!A:A,0)),
            IFERROR(
                INDEX([1]OEMship!B:B,MATCH(A94,[1]OEMship!A:A,0)),
                IFERROR(
                    INDEX([1]NV6ship!B:B,MATCH(A94,[1]NV6ship!A:A,0)),
                    IFERROR(
                        INDEX([1]NVship!B:B,MATCH(A94,[1]NVship!A:A,0)),
                        IFERROR(
                            INDEX([1]海ship!B:B,MATCH(A94,[1]海ship!A:A,0)),
                            IFERROR(
                                INDEX([1]ｾﾚship!B:B,MATCH(A94,[1]ｾﾚship!A:A,0)),
                                IFERROR(
                                    INDEX([1]ｾﾚﾓﾆｰ商品ship!B:B,MATCH(A94,[1]ｾﾚﾓﾆｰ商品ship!A:A,0)),
                                    INDEX([2]NV!D:D,MATCH(A94,[2]NV!C:C,0))
                                )
                            )
                        )
                    )
                )
            )
        )
    )
)</f>
        <v>寄ってこい 光略ｶｽﾀﾑｼﾝｶｰ30号 ﾋﾟｰﾁｸﾞﾛｰ</v>
      </c>
      <c r="C94" s="4" t="s">
        <v>5</v>
      </c>
      <c r="D94" s="10" t="str">
        <f t="shared" si="3"/>
        <v>寄ってこい 光略ｶｽﾀﾑｼﾝｶｰ30号 ﾋﾟｰﾁｸﾞﾛｰ ｜ 1F釣具部屋【04】 ｜ D</v>
      </c>
      <c r="E94" s="11" t="str">
        <f t="shared" si="4"/>
        <v>1F釣具部屋</v>
      </c>
      <c r="F94" s="12" t="s">
        <v>21</v>
      </c>
      <c r="G94" s="11" t="str">
        <f t="shared" si="5"/>
        <v>04・1F釣具部屋D</v>
      </c>
      <c r="H94" s="3"/>
    </row>
    <row r="95" spans="1:8" ht="15" customHeight="1" x14ac:dyDescent="0.2">
      <c r="A95" s="10" t="s">
        <v>77</v>
      </c>
      <c r="B95" s="10" t="str">
        <f>IFERROR(
    INDEX([1]FSHIP!B:B,MATCH(A95,[1]FSHIP!A:A,0)),
    IFERROR(
        INDEX([1]釣具商品ship!B:B,MATCH(A95,[1]釣具商品ship!A:A,0)),
        IFERROR(
            INDEX([1]玩具商品ship!B:B,MATCH(A95,[1]玩具商品ship!A:A,0)),
            IFERROR(
                INDEX([1]OEMship!B:B,MATCH(A95,[1]OEMship!A:A,0)),
                IFERROR(
                    INDEX([1]NV6ship!B:B,MATCH(A95,[1]NV6ship!A:A,0)),
                    IFERROR(
                        INDEX([1]NVship!B:B,MATCH(A95,[1]NVship!A:A,0)),
                        IFERROR(
                            INDEX([1]海ship!B:B,MATCH(A95,[1]海ship!A:A,0)),
                            IFERROR(
                                INDEX([1]ｾﾚship!B:B,MATCH(A95,[1]ｾﾚship!A:A,0)),
                                IFERROR(
                                    INDEX([1]ｾﾚﾓﾆｰ商品ship!B:B,MATCH(A95,[1]ｾﾚﾓﾆｰ商品ship!A:A,0)),
                                    INDEX([2]NV!D:D,MATCH(A95,[2]NV!C:C,0))
                                )
                            )
                        )
                    )
                )
            )
        )
    )
)</f>
        <v>光略ｶｽﾀﾑｼﾝｶｰ50号 ﾋﾟﾝｸﾎﾛ</v>
      </c>
      <c r="C95" s="4" t="s">
        <v>5</v>
      </c>
      <c r="D95" s="10" t="str">
        <f t="shared" si="3"/>
        <v>光略ｶｽﾀﾑｼﾝｶｰ50号 ﾋﾟﾝｸﾎﾛ ｜ 1F釣具部屋【04】 ｜ D</v>
      </c>
      <c r="E95" s="11" t="str">
        <f t="shared" si="4"/>
        <v>1F釣具部屋</v>
      </c>
      <c r="F95" s="12" t="s">
        <v>21</v>
      </c>
      <c r="G95" s="11" t="str">
        <f t="shared" si="5"/>
        <v>04・1F釣具部屋D</v>
      </c>
      <c r="H95" s="3"/>
    </row>
    <row r="96" spans="1:8" ht="15" customHeight="1" x14ac:dyDescent="0.2">
      <c r="A96" s="10" t="s">
        <v>78</v>
      </c>
      <c r="B96" s="10" t="str">
        <f>IFERROR(
    INDEX([1]FSHIP!B:B,MATCH(A96,[1]FSHIP!A:A,0)),
    IFERROR(
        INDEX([1]釣具商品ship!B:B,MATCH(A96,[1]釣具商品ship!A:A,0)),
        IFERROR(
            INDEX([1]玩具商品ship!B:B,MATCH(A96,[1]玩具商品ship!A:A,0)),
            IFERROR(
                INDEX([1]OEMship!B:B,MATCH(A96,[1]OEMship!A:A,0)),
                IFERROR(
                    INDEX([1]NV6ship!B:B,MATCH(A96,[1]NV6ship!A:A,0)),
                    IFERROR(
                        INDEX([1]NVship!B:B,MATCH(A96,[1]NVship!A:A,0)),
                        IFERROR(
                            INDEX([1]海ship!B:B,MATCH(A96,[1]海ship!A:A,0)),
                            IFERROR(
                                INDEX([1]ｾﾚship!B:B,MATCH(A96,[1]ｾﾚship!A:A,0)),
                                IFERROR(
                                    INDEX([1]ｾﾚﾓﾆｰ商品ship!B:B,MATCH(A96,[1]ｾﾚﾓﾆｰ商品ship!A:A,0)),
                                    INDEX([2]NV!D:D,MATCH(A96,[2]NV!C:C,0))
                                )
                            )
                        )
                    )
                )
            )
        )
    )
)</f>
        <v>光略ｶｽﾀﾑｼﾝｶｰ50号 ﾋﾟｰﾁｸﾞﾛｰ</v>
      </c>
      <c r="C96" s="4" t="s">
        <v>5</v>
      </c>
      <c r="D96" s="10" t="str">
        <f t="shared" si="3"/>
        <v>光略ｶｽﾀﾑｼﾝｶｰ50号 ﾋﾟｰﾁｸﾞﾛｰ ｜ 1F釣具部屋【04】 ｜ D</v>
      </c>
      <c r="E96" s="11" t="str">
        <f t="shared" si="4"/>
        <v>1F釣具部屋</v>
      </c>
      <c r="F96" s="12" t="s">
        <v>21</v>
      </c>
      <c r="G96" s="11" t="str">
        <f t="shared" si="5"/>
        <v>04・1F釣具部屋D</v>
      </c>
      <c r="H96" s="3"/>
    </row>
    <row r="97" spans="1:8" ht="15" customHeight="1" x14ac:dyDescent="0.2">
      <c r="A97" s="10" t="s">
        <v>79</v>
      </c>
      <c r="B97" s="10" t="str">
        <f>IFERROR(
    INDEX([1]FSHIP!B:B,MATCH(A97,[1]FSHIP!A:A,0)),
    IFERROR(
        INDEX([1]釣具商品ship!B:B,MATCH(A97,[1]釣具商品ship!A:A,0)),
        IFERROR(
            INDEX([1]玩具商品ship!B:B,MATCH(A97,[1]玩具商品ship!A:A,0)),
            IFERROR(
                INDEX([1]OEMship!B:B,MATCH(A97,[1]OEMship!A:A,0)),
                IFERROR(
                    INDEX([1]NV6ship!B:B,MATCH(A97,[1]NV6ship!A:A,0)),
                    IFERROR(
                        INDEX([1]NVship!B:B,MATCH(A97,[1]NVship!A:A,0)),
                        IFERROR(
                            INDEX([1]海ship!B:B,MATCH(A97,[1]海ship!A:A,0)),
                            IFERROR(
                                INDEX([1]ｾﾚship!B:B,MATCH(A97,[1]ｾﾚship!A:A,0)),
                                IFERROR(
                                    INDEX([1]ｾﾚﾓﾆｰ商品ship!B:B,MATCH(A97,[1]ｾﾚﾓﾆｰ商品ship!A:A,0)),
                                    INDEX([2]NV!D:D,MATCH(A97,[2]NV!C:C,0))
                                )
                            )
                        )
                    )
                )
            )
        )
    )
)</f>
        <v>光略ｶｽﾀﾑｼﾝｶｰ50号 ﾌﾞﾙﾋﾟﾝｾﾞﾌﾞﾗ</v>
      </c>
      <c r="C97" s="4" t="s">
        <v>5</v>
      </c>
      <c r="D97" s="10" t="str">
        <f t="shared" si="3"/>
        <v>光略ｶｽﾀﾑｼﾝｶｰ50号 ﾌﾞﾙﾋﾟﾝｾﾞﾌﾞﾗ ｜ 1F釣具部屋【04】 ｜ D</v>
      </c>
      <c r="E97" s="11" t="str">
        <f t="shared" si="4"/>
        <v>1F釣具部屋</v>
      </c>
      <c r="F97" s="12" t="s">
        <v>21</v>
      </c>
      <c r="G97" s="11" t="str">
        <f t="shared" si="5"/>
        <v>04・1F釣具部屋D</v>
      </c>
      <c r="H97" s="3"/>
    </row>
    <row r="98" spans="1:8" ht="15" customHeight="1" x14ac:dyDescent="0.2">
      <c r="A98" s="10" t="s">
        <v>80</v>
      </c>
      <c r="B98" s="10" t="str">
        <f>IFERROR(
    INDEX([1]FSHIP!B:B,MATCH(A98,[1]FSHIP!A:A,0)),
    IFERROR(
        INDEX([1]釣具商品ship!B:B,MATCH(A98,[1]釣具商品ship!A:A,0)),
        IFERROR(
            INDEX([1]玩具商品ship!B:B,MATCH(A98,[1]玩具商品ship!A:A,0)),
            IFERROR(
                INDEX([1]OEMship!B:B,MATCH(A98,[1]OEMship!A:A,0)),
                IFERROR(
                    INDEX([1]NV6ship!B:B,MATCH(A98,[1]NV6ship!A:A,0)),
                    IFERROR(
                        INDEX([1]NVship!B:B,MATCH(A98,[1]NVship!A:A,0)),
                        IFERROR(
                            INDEX([1]海ship!B:B,MATCH(A98,[1]海ship!A:A,0)),
                            IFERROR(
                                INDEX([1]ｾﾚship!B:B,MATCH(A98,[1]ｾﾚship!A:A,0)),
                                IFERROR(
                                    INDEX([1]ｾﾚﾓﾆｰ商品ship!B:B,MATCH(A98,[1]ｾﾚﾓﾆｰ商品ship!A:A,0)),
                                    INDEX([2]NV!D:D,MATCH(A98,[2]NV!C:C,0))
                                )
                            )
                        )
                    )
                )
            )
        )
    )
)</f>
        <v>光略ｶｽﾀﾑｼﾝｶｰ60号 ﾋﾟﾝｸﾎﾛ</v>
      </c>
      <c r="C98" s="4" t="s">
        <v>5</v>
      </c>
      <c r="D98" s="10" t="str">
        <f t="shared" si="3"/>
        <v>光略ｶｽﾀﾑｼﾝｶｰ60号 ﾋﾟﾝｸﾎﾛ ｜ 1F釣具部屋【04】 ｜ D</v>
      </c>
      <c r="E98" s="11" t="str">
        <f t="shared" si="4"/>
        <v>1F釣具部屋</v>
      </c>
      <c r="F98" s="12" t="s">
        <v>21</v>
      </c>
      <c r="G98" s="11" t="str">
        <f t="shared" si="5"/>
        <v>04・1F釣具部屋D</v>
      </c>
      <c r="H98" s="3"/>
    </row>
    <row r="99" spans="1:8" ht="15" customHeight="1" x14ac:dyDescent="0.2">
      <c r="A99" s="10" t="s">
        <v>81</v>
      </c>
      <c r="B99" s="10" t="str">
        <f>IFERROR(
    INDEX([1]FSHIP!B:B,MATCH(A99,[1]FSHIP!A:A,0)),
    IFERROR(
        INDEX([1]釣具商品ship!B:B,MATCH(A99,[1]釣具商品ship!A:A,0)),
        IFERROR(
            INDEX([1]玩具商品ship!B:B,MATCH(A99,[1]玩具商品ship!A:A,0)),
            IFERROR(
                INDEX([1]OEMship!B:B,MATCH(A99,[1]OEMship!A:A,0)),
                IFERROR(
                    INDEX([1]NV6ship!B:B,MATCH(A99,[1]NV6ship!A:A,0)),
                    IFERROR(
                        INDEX([1]NVship!B:B,MATCH(A99,[1]NVship!A:A,0)),
                        IFERROR(
                            INDEX([1]海ship!B:B,MATCH(A99,[1]海ship!A:A,0)),
                            IFERROR(
                                INDEX([1]ｾﾚship!B:B,MATCH(A99,[1]ｾﾚship!A:A,0)),
                                IFERROR(
                                    INDEX([1]ｾﾚﾓﾆｰ商品ship!B:B,MATCH(A99,[1]ｾﾚﾓﾆｰ商品ship!A:A,0)),
                                    INDEX([2]NV!D:D,MATCH(A99,[2]NV!C:C,0))
                                )
                            )
                        )
                    )
                )
            )
        )
    )
)</f>
        <v>光略ｶｽﾀﾑｼﾝｶｰ60号 ﾋﾟｰﾁｸﾞﾛｰ</v>
      </c>
      <c r="C99" s="4" t="s">
        <v>5</v>
      </c>
      <c r="D99" s="10" t="str">
        <f t="shared" si="3"/>
        <v>光略ｶｽﾀﾑｼﾝｶｰ60号 ﾋﾟｰﾁｸﾞﾛｰ ｜ 1F釣具部屋【04】 ｜ D</v>
      </c>
      <c r="E99" s="11" t="str">
        <f t="shared" si="4"/>
        <v>1F釣具部屋</v>
      </c>
      <c r="F99" s="12" t="s">
        <v>21</v>
      </c>
      <c r="G99" s="11" t="str">
        <f t="shared" si="5"/>
        <v>04・1F釣具部屋D</v>
      </c>
      <c r="H99" s="3"/>
    </row>
    <row r="100" spans="1:8" ht="15" customHeight="1" x14ac:dyDescent="0.2">
      <c r="A100" s="10" t="s">
        <v>82</v>
      </c>
      <c r="B100" s="10" t="str">
        <f>IFERROR(
    INDEX([1]FSHIP!B:B,MATCH(A100,[1]FSHIP!A:A,0)),
    IFERROR(
        INDEX([1]釣具商品ship!B:B,MATCH(A100,[1]釣具商品ship!A:A,0)),
        IFERROR(
            INDEX([1]玩具商品ship!B:B,MATCH(A100,[1]玩具商品ship!A:A,0)),
            IFERROR(
                INDEX([1]OEMship!B:B,MATCH(A100,[1]OEMship!A:A,0)),
                IFERROR(
                    INDEX([1]NV6ship!B:B,MATCH(A100,[1]NV6ship!A:A,0)),
                    IFERROR(
                        INDEX([1]NVship!B:B,MATCH(A100,[1]NVship!A:A,0)),
                        IFERROR(
                            INDEX([1]海ship!B:B,MATCH(A100,[1]海ship!A:A,0)),
                            IFERROR(
                                INDEX([1]ｾﾚship!B:B,MATCH(A100,[1]ｾﾚship!A:A,0)),
                                IFERROR(
                                    INDEX([1]ｾﾚﾓﾆｰ商品ship!B:B,MATCH(A100,[1]ｾﾚﾓﾆｰ商品ship!A:A,0)),
                                    INDEX([2]NV!D:D,MATCH(A100,[2]NV!C:C,0))
                                )
                            )
                        )
                    )
                )
            )
        )
    )
)</f>
        <v>光略ｶｽﾀﾑｼﾝｶｰ60号 ﾌﾞﾙﾋﾟﾝｾﾞﾌﾞﾗ</v>
      </c>
      <c r="C100" s="4" t="s">
        <v>5</v>
      </c>
      <c r="D100" s="10" t="str">
        <f t="shared" si="3"/>
        <v>光略ｶｽﾀﾑｼﾝｶｰ60号 ﾌﾞﾙﾋﾟﾝｾﾞﾌﾞﾗ ｜ 1F釣具部屋【04】 ｜ D</v>
      </c>
      <c r="E100" s="11" t="str">
        <f t="shared" si="4"/>
        <v>1F釣具部屋</v>
      </c>
      <c r="F100" s="12" t="s">
        <v>21</v>
      </c>
      <c r="G100" s="11" t="str">
        <f t="shared" si="5"/>
        <v>04・1F釣具部屋D</v>
      </c>
      <c r="H100" s="3"/>
    </row>
    <row r="101" spans="1:8" ht="15" customHeight="1" x14ac:dyDescent="0.2">
      <c r="A101" s="10" t="s">
        <v>83</v>
      </c>
      <c r="B101" s="10" t="str">
        <f>IFERROR(
    INDEX([1]FSHIP!B:B,MATCH(A101,[1]FSHIP!A:A,0)),
    IFERROR(
        INDEX([1]釣具商品ship!B:B,MATCH(A101,[1]釣具商品ship!A:A,0)),
        IFERROR(
            INDEX([1]玩具商品ship!B:B,MATCH(A101,[1]玩具商品ship!A:A,0)),
            IFERROR(
                INDEX([1]OEMship!B:B,MATCH(A101,[1]OEMship!A:A,0)),
                IFERROR(
                    INDEX([1]NV6ship!B:B,MATCH(A101,[1]NV6ship!A:A,0)),
                    IFERROR(
                        INDEX([1]NVship!B:B,MATCH(A101,[1]NVship!A:A,0)),
                        IFERROR(
                            INDEX([1]海ship!B:B,MATCH(A101,[1]海ship!A:A,0)),
                            IFERROR(
                                INDEX([1]ｾﾚship!B:B,MATCH(A101,[1]ｾﾚship!A:A,0)),
                                IFERROR(
                                    INDEX([1]ｾﾚﾓﾆｰ商品ship!B:B,MATCH(A101,[1]ｾﾚﾓﾆｰ商品ship!A:A,0)),
                                    INDEX([2]NV!D:D,MATCH(A101,[2]NV!C:C,0))
                                )
                            )
                        )
                    )
                )
            )
        )
    )
)</f>
        <v>光略ｶｽﾀﾑｼﾝｶｰ80号 ﾋﾟﾝｸﾎﾛ</v>
      </c>
      <c r="C101" s="4" t="s">
        <v>5</v>
      </c>
      <c r="D101" s="10" t="str">
        <f t="shared" si="3"/>
        <v>光略ｶｽﾀﾑｼﾝｶｰ80号 ﾋﾟﾝｸﾎﾛ ｜ 1F釣具部屋【04】 ｜ D</v>
      </c>
      <c r="E101" s="11" t="str">
        <f t="shared" si="4"/>
        <v>1F釣具部屋</v>
      </c>
      <c r="F101" s="12" t="s">
        <v>21</v>
      </c>
      <c r="G101" s="11" t="str">
        <f t="shared" si="5"/>
        <v>04・1F釣具部屋D</v>
      </c>
      <c r="H101" s="3"/>
    </row>
    <row r="102" spans="1:8" ht="15" customHeight="1" x14ac:dyDescent="0.2">
      <c r="A102" s="10" t="s">
        <v>84</v>
      </c>
      <c r="B102" s="10" t="str">
        <f>IFERROR(
    INDEX([1]FSHIP!B:B,MATCH(A102,[1]FSHIP!A:A,0)),
    IFERROR(
        INDEX([1]釣具商品ship!B:B,MATCH(A102,[1]釣具商品ship!A:A,0)),
        IFERROR(
            INDEX([1]玩具商品ship!B:B,MATCH(A102,[1]玩具商品ship!A:A,0)),
            IFERROR(
                INDEX([1]OEMship!B:B,MATCH(A102,[1]OEMship!A:A,0)),
                IFERROR(
                    INDEX([1]NV6ship!B:B,MATCH(A102,[1]NV6ship!A:A,0)),
                    IFERROR(
                        INDEX([1]NVship!B:B,MATCH(A102,[1]NVship!A:A,0)),
                        IFERROR(
                            INDEX([1]海ship!B:B,MATCH(A102,[1]海ship!A:A,0)),
                            IFERROR(
                                INDEX([1]ｾﾚship!B:B,MATCH(A102,[1]ｾﾚship!A:A,0)),
                                IFERROR(
                                    INDEX([1]ｾﾚﾓﾆｰ商品ship!B:B,MATCH(A102,[1]ｾﾚﾓﾆｰ商品ship!A:A,0)),
                                    INDEX([2]NV!D:D,MATCH(A102,[2]NV!C:C,0))
                                )
                            )
                        )
                    )
                )
            )
        )
    )
)</f>
        <v>光略ｶｽﾀﾑｼﾝｶｰ80号 ﾈｵﾝｲｴﾛｰ</v>
      </c>
      <c r="C102" s="4" t="s">
        <v>5</v>
      </c>
      <c r="D102" s="10" t="str">
        <f t="shared" si="3"/>
        <v>光略ｶｽﾀﾑｼﾝｶｰ80号 ﾈｵﾝｲｴﾛｰ ｜ 1F釣具部屋【04】 ｜ D</v>
      </c>
      <c r="E102" s="11" t="str">
        <f t="shared" si="4"/>
        <v>1F釣具部屋</v>
      </c>
      <c r="F102" s="12" t="s">
        <v>21</v>
      </c>
      <c r="G102" s="11" t="str">
        <f t="shared" si="5"/>
        <v>04・1F釣具部屋D</v>
      </c>
      <c r="H102" s="3"/>
    </row>
    <row r="103" spans="1:8" ht="15" customHeight="1" x14ac:dyDescent="0.2">
      <c r="A103" s="10" t="s">
        <v>85</v>
      </c>
      <c r="B103" s="10" t="str">
        <f>IFERROR(
    INDEX([1]FSHIP!B:B,MATCH(A103,[1]FSHIP!A:A,0)),
    IFERROR(
        INDEX([1]釣具商品ship!B:B,MATCH(A103,[1]釣具商品ship!A:A,0)),
        IFERROR(
            INDEX([1]玩具商品ship!B:B,MATCH(A103,[1]玩具商品ship!A:A,0)),
            IFERROR(
                INDEX([1]OEMship!B:B,MATCH(A103,[1]OEMship!A:A,0)),
                IFERROR(
                    INDEX([1]NV6ship!B:B,MATCH(A103,[1]NV6ship!A:A,0)),
                    IFERROR(
                        INDEX([1]NVship!B:B,MATCH(A103,[1]NVship!A:A,0)),
                        IFERROR(
                            INDEX([1]海ship!B:B,MATCH(A103,[1]海ship!A:A,0)),
                            IFERROR(
                                INDEX([1]ｾﾚship!B:B,MATCH(A103,[1]ｾﾚship!A:A,0)),
                                IFERROR(
                                    INDEX([1]ｾﾚﾓﾆｰ商品ship!B:B,MATCH(A103,[1]ｾﾚﾓﾆｰ商品ship!A:A,0)),
                                    INDEX([2]NV!D:D,MATCH(A103,[2]NV!C:C,0))
                                )
                            )
                        )
                    )
                )
            )
        )
    )
)</f>
        <v>光略ｶｽﾀﾑｼﾝｶｰ80号 ﾌﾞﾙﾋﾟﾝｾﾞﾌﾞﾗ</v>
      </c>
      <c r="C103" s="4" t="s">
        <v>5</v>
      </c>
      <c r="D103" s="10" t="str">
        <f t="shared" si="3"/>
        <v>光略ｶｽﾀﾑｼﾝｶｰ80号 ﾌﾞﾙﾋﾟﾝｾﾞﾌﾞﾗ ｜ 1F釣具部屋【04】 ｜ D</v>
      </c>
      <c r="E103" s="11" t="str">
        <f t="shared" si="4"/>
        <v>1F釣具部屋</v>
      </c>
      <c r="F103" s="12" t="s">
        <v>21</v>
      </c>
      <c r="G103" s="11" t="str">
        <f t="shared" si="5"/>
        <v>04・1F釣具部屋D</v>
      </c>
      <c r="H103" s="3"/>
    </row>
    <row r="104" spans="1:8" ht="15" customHeight="1" x14ac:dyDescent="0.2">
      <c r="A104" s="10" t="s">
        <v>25</v>
      </c>
      <c r="B104" s="10" t="str">
        <f>IFERROR(
    INDEX([1]FSHIP!B:B,MATCH(A104,[1]FSHIP!A:A,0)),
    IFERROR(
        INDEX([1]釣具商品ship!B:B,MATCH(A104,[1]釣具商品ship!A:A,0)),
        IFERROR(
            INDEX([1]玩具商品ship!B:B,MATCH(A104,[1]玩具商品ship!A:A,0)),
            IFERROR(
                INDEX([1]OEMship!B:B,MATCH(A104,[1]OEMship!A:A,0)),
                IFERROR(
                    INDEX([1]NV6ship!B:B,MATCH(A104,[1]NV6ship!A:A,0)),
                    IFERROR(
                        INDEX([1]NVship!B:B,MATCH(A104,[1]NVship!A:A,0)),
                        IFERROR(
                            INDEX([1]海ship!B:B,MATCH(A104,[1]海ship!A:A,0)),
                            IFERROR(
                                INDEX([1]ｾﾚship!B:B,MATCH(A104,[1]ｾﾚship!A:A,0)),
                                IFERROR(
                                    INDEX([1]ｾﾚﾓﾆｰ商品ship!B:B,MATCH(A104,[1]ｾﾚﾓﾆｰ商品ship!A:A,0)),
                                    INDEX([2]NV!D:D,MATCH(A104,[2]NV!C:C,0))
                                )
                            )
                        )
                    )
                )
            )
        )
    )
)</f>
        <v>神経絞めセット　スーパーロング</v>
      </c>
      <c r="C104" s="4" t="s">
        <v>11</v>
      </c>
      <c r="D104" s="10" t="str">
        <f t="shared" si="3"/>
        <v>神経絞めセット　スーパーロング ｜ 1F釣具部屋【04】 ｜ A</v>
      </c>
      <c r="E104" s="11" t="str">
        <f t="shared" si="4"/>
        <v>1F釣具部屋</v>
      </c>
      <c r="F104" s="12" t="s">
        <v>21</v>
      </c>
      <c r="G104" s="11" t="str">
        <f t="shared" si="5"/>
        <v>04・1F釣具部屋A</v>
      </c>
      <c r="H104" s="3"/>
    </row>
    <row r="105" spans="1:8" ht="15" customHeight="1" x14ac:dyDescent="0.2">
      <c r="A105" s="10" t="s">
        <v>86</v>
      </c>
      <c r="B105" s="10" t="str">
        <f>IFERROR(
    INDEX([1]FSHIP!B:B,MATCH(A105,[1]FSHIP!A:A,0)),
    IFERROR(
        INDEX([1]釣具商品ship!B:B,MATCH(A105,[1]釣具商品ship!A:A,0)),
        IFERROR(
            INDEX([1]玩具商品ship!B:B,MATCH(A105,[1]玩具商品ship!A:A,0)),
            IFERROR(
                INDEX([1]OEMship!B:B,MATCH(A105,[1]OEMship!A:A,0)),
                IFERROR(
                    INDEX([1]NV6ship!B:B,MATCH(A105,[1]NV6ship!A:A,0)),
                    IFERROR(
                        INDEX([1]NVship!B:B,MATCH(A105,[1]NVship!A:A,0)),
                        IFERROR(
                            INDEX([1]海ship!B:B,MATCH(A105,[1]海ship!A:A,0)),
                            IFERROR(
                                INDEX([1]ｾﾚship!B:B,MATCH(A105,[1]ｾﾚship!A:A,0)),
                                IFERROR(
                                    INDEX([1]ｾﾚﾓﾆｰ商品ship!B:B,MATCH(A105,[1]ｾﾚﾓﾆｰ商品ship!A:A,0)),
                                    INDEX([2]NV!D:D,MATCH(A105,[2]NV!C:C,0))
                                )
                            )
                        )
                    )
                )
            )
        )
    )
)</f>
        <v>光略ｶｽﾀﾑｼﾝｶｰ25号 ピンクホロ</v>
      </c>
      <c r="C105" s="4" t="s">
        <v>5</v>
      </c>
      <c r="D105" s="10" t="str">
        <f t="shared" si="3"/>
        <v>光略ｶｽﾀﾑｼﾝｶｰ25号 ピンクホロ ｜ 1F釣具部屋【04】 ｜ D</v>
      </c>
      <c r="E105" s="11" t="str">
        <f t="shared" si="4"/>
        <v>1F釣具部屋</v>
      </c>
      <c r="F105" s="12" t="s">
        <v>21</v>
      </c>
      <c r="G105" s="11" t="str">
        <f t="shared" si="5"/>
        <v>04・1F釣具部屋D</v>
      </c>
      <c r="H105" s="3"/>
    </row>
    <row r="106" spans="1:8" ht="15" customHeight="1" x14ac:dyDescent="0.2">
      <c r="A106" s="10" t="s">
        <v>87</v>
      </c>
      <c r="B106" s="10" t="str">
        <f>IFERROR(
    INDEX([1]FSHIP!B:B,MATCH(A106,[1]FSHIP!A:A,0)),
    IFERROR(
        INDEX([1]釣具商品ship!B:B,MATCH(A106,[1]釣具商品ship!A:A,0)),
        IFERROR(
            INDEX([1]玩具商品ship!B:B,MATCH(A106,[1]玩具商品ship!A:A,0)),
            IFERROR(
                INDEX([1]OEMship!B:B,MATCH(A106,[1]OEMship!A:A,0)),
                IFERROR(
                    INDEX([1]NV6ship!B:B,MATCH(A106,[1]NV6ship!A:A,0)),
                    IFERROR(
                        INDEX([1]NVship!B:B,MATCH(A106,[1]NVship!A:A,0)),
                        IFERROR(
                            INDEX([1]海ship!B:B,MATCH(A106,[1]海ship!A:A,0)),
                            IFERROR(
                                INDEX([1]ｾﾚship!B:B,MATCH(A106,[1]ｾﾚship!A:A,0)),
                                IFERROR(
                                    INDEX([1]ｾﾚﾓﾆｰ商品ship!B:B,MATCH(A106,[1]ｾﾚﾓﾆｰ商品ship!A:A,0)),
                                    INDEX([2]NV!D:D,MATCH(A106,[2]NV!C:C,0))
                                )
                            )
                        )
                    )
                )
            )
        )
    )
)</f>
        <v>光略ｶｽﾀﾑｼﾝｶｰ25号 ﾌﾞﾙﾋﾟﾝｾﾞﾌﾞﾗ</v>
      </c>
      <c r="C106" s="4" t="s">
        <v>5</v>
      </c>
      <c r="D106" s="10" t="str">
        <f t="shared" si="3"/>
        <v>光略ｶｽﾀﾑｼﾝｶｰ25号 ﾌﾞﾙﾋﾟﾝｾﾞﾌﾞﾗ ｜ 1F釣具部屋【04】 ｜ D</v>
      </c>
      <c r="E106" s="11" t="str">
        <f t="shared" si="4"/>
        <v>1F釣具部屋</v>
      </c>
      <c r="F106" s="12" t="s">
        <v>21</v>
      </c>
      <c r="G106" s="11" t="str">
        <f t="shared" si="5"/>
        <v>04・1F釣具部屋D</v>
      </c>
      <c r="H106" s="3"/>
    </row>
    <row r="107" spans="1:8" ht="15" customHeight="1" x14ac:dyDescent="0.2">
      <c r="A107" s="10" t="s">
        <v>88</v>
      </c>
      <c r="B107" s="10" t="str">
        <f>IFERROR(
    INDEX([1]FSHIP!B:B,MATCH(A107,[1]FSHIP!A:A,0)),
    IFERROR(
        INDEX([1]釣具商品ship!B:B,MATCH(A107,[1]釣具商品ship!A:A,0)),
        IFERROR(
            INDEX([1]玩具商品ship!B:B,MATCH(A107,[1]玩具商品ship!A:A,0)),
            IFERROR(
                INDEX([1]OEMship!B:B,MATCH(A107,[1]OEMship!A:A,0)),
                IFERROR(
                    INDEX([1]NV6ship!B:B,MATCH(A107,[1]NV6ship!A:A,0)),
                    IFERROR(
                        INDEX([1]NVship!B:B,MATCH(A107,[1]NVship!A:A,0)),
                        IFERROR(
                            INDEX([1]海ship!B:B,MATCH(A107,[1]海ship!A:A,0)),
                            IFERROR(
                                INDEX([1]ｾﾚship!B:B,MATCH(A107,[1]ｾﾚship!A:A,0)),
                                IFERROR(
                                    INDEX([1]ｾﾚﾓﾆｰ商品ship!B:B,MATCH(A107,[1]ｾﾚﾓﾆｰ商品ship!A:A,0)),
                                    INDEX([2]NV!D:D,MATCH(A107,[2]NV!C:C,0))
                                )
                            )
                        )
                    )
                )
            )
        )
    )
)</f>
        <v>光略ｶｽﾀﾑｼﾝｶｰ30号 ピンクホロ</v>
      </c>
      <c r="C107" s="4" t="s">
        <v>5</v>
      </c>
      <c r="D107" s="10" t="str">
        <f t="shared" si="3"/>
        <v>光略ｶｽﾀﾑｼﾝｶｰ30号 ピンクホロ ｜ 1F釣具部屋【04】 ｜ D</v>
      </c>
      <c r="E107" s="11" t="str">
        <f t="shared" si="4"/>
        <v>1F釣具部屋</v>
      </c>
      <c r="F107" s="12" t="s">
        <v>21</v>
      </c>
      <c r="G107" s="11" t="str">
        <f t="shared" si="5"/>
        <v>04・1F釣具部屋D</v>
      </c>
      <c r="H107" s="3"/>
    </row>
    <row r="108" spans="1:8" ht="15" customHeight="1" x14ac:dyDescent="0.2">
      <c r="A108" s="10" t="s">
        <v>89</v>
      </c>
      <c r="B108" s="10" t="str">
        <f>IFERROR(
    INDEX([1]FSHIP!B:B,MATCH(A108,[1]FSHIP!A:A,0)),
    IFERROR(
        INDEX([1]釣具商品ship!B:B,MATCH(A108,[1]釣具商品ship!A:A,0)),
        IFERROR(
            INDEX([1]玩具商品ship!B:B,MATCH(A108,[1]玩具商品ship!A:A,0)),
            IFERROR(
                INDEX([1]OEMship!B:B,MATCH(A108,[1]OEMship!A:A,0)),
                IFERROR(
                    INDEX([1]NV6ship!B:B,MATCH(A108,[1]NV6ship!A:A,0)),
                    IFERROR(
                        INDEX([1]NVship!B:B,MATCH(A108,[1]NVship!A:A,0)),
                        IFERROR(
                            INDEX([1]海ship!B:B,MATCH(A108,[1]海ship!A:A,0)),
                            IFERROR(
                                INDEX([1]ｾﾚship!B:B,MATCH(A108,[1]ｾﾚship!A:A,0)),
                                IFERROR(
                                    INDEX([1]ｾﾚﾓﾆｰ商品ship!B:B,MATCH(A108,[1]ｾﾚﾓﾆｰ商品ship!A:A,0)),
                                    INDEX([2]NV!D:D,MATCH(A108,[2]NV!C:C,0))
                                )
                            )
                        )
                    )
                )
            )
        )
    )
)</f>
        <v>光略ｶｽﾀﾑｼﾝｶｰ30号 ﾌﾞﾙﾋﾟﾝｾﾞﾌﾞﾗ</v>
      </c>
      <c r="C108" s="4" t="s">
        <v>5</v>
      </c>
      <c r="D108" s="10" t="str">
        <f t="shared" si="3"/>
        <v>光略ｶｽﾀﾑｼﾝｶｰ30号 ﾌﾞﾙﾋﾟﾝｾﾞﾌﾞﾗ ｜ 1F釣具部屋【04】 ｜ D</v>
      </c>
      <c r="E108" s="11" t="str">
        <f t="shared" si="4"/>
        <v>1F釣具部屋</v>
      </c>
      <c r="F108" s="12" t="s">
        <v>21</v>
      </c>
      <c r="G108" s="11" t="str">
        <f t="shared" si="5"/>
        <v>04・1F釣具部屋D</v>
      </c>
      <c r="H108" s="3"/>
    </row>
    <row r="109" spans="1:8" ht="15" customHeight="1" x14ac:dyDescent="0.2">
      <c r="A109" s="10" t="s">
        <v>90</v>
      </c>
      <c r="B109" s="10" t="str">
        <f>IFERROR(
    INDEX([1]FSHIP!B:B,MATCH(A109,[1]FSHIP!A:A,0)),
    IFERROR(
        INDEX([1]釣具商品ship!B:B,MATCH(A109,[1]釣具商品ship!A:A,0)),
        IFERROR(
            INDEX([1]玩具商品ship!B:B,MATCH(A109,[1]玩具商品ship!A:A,0)),
            IFERROR(
                INDEX([1]OEMship!B:B,MATCH(A109,[1]OEMship!A:A,0)),
                IFERROR(
                    INDEX([1]NV6ship!B:B,MATCH(A109,[1]NV6ship!A:A,0)),
                    IFERROR(
                        INDEX([1]NVship!B:B,MATCH(A109,[1]NVship!A:A,0)),
                        IFERROR(
                            INDEX([1]海ship!B:B,MATCH(A109,[1]海ship!A:A,0)),
                            IFERROR(
                                INDEX([1]ｾﾚship!B:B,MATCH(A109,[1]ｾﾚship!A:A,0)),
                                IFERROR(
                                    INDEX([1]ｾﾚﾓﾆｰ商品ship!B:B,MATCH(A109,[1]ｾﾚﾓﾆｰ商品ship!A:A,0)),
                                    INDEX([2]NV!D:D,MATCH(A109,[2]NV!C:C,0))
                                )
                            )
                        )
                    )
                )
            )
        )
    )
)</f>
        <v>光略ｶｽﾀﾑｼﾝｶｰ50号 ネオンイエロー</v>
      </c>
      <c r="C109" s="4" t="s">
        <v>5</v>
      </c>
      <c r="D109" s="10" t="str">
        <f t="shared" si="3"/>
        <v>光略ｶｽﾀﾑｼﾝｶｰ50号 ネオンイエロー ｜ 1F釣具部屋【04】 ｜ D</v>
      </c>
      <c r="E109" s="11" t="str">
        <f t="shared" si="4"/>
        <v>1F釣具部屋</v>
      </c>
      <c r="F109" s="12" t="s">
        <v>21</v>
      </c>
      <c r="G109" s="11" t="str">
        <f t="shared" si="5"/>
        <v>04・1F釣具部屋D</v>
      </c>
      <c r="H109" s="3"/>
    </row>
    <row r="110" spans="1:8" ht="15" customHeight="1" x14ac:dyDescent="0.2">
      <c r="A110" s="10" t="s">
        <v>91</v>
      </c>
      <c r="B110" s="10" t="str">
        <f>IFERROR(
    INDEX([1]FSHIP!B:B,MATCH(A110,[1]FSHIP!A:A,0)),
    IFERROR(
        INDEX([1]釣具商品ship!B:B,MATCH(A110,[1]釣具商品ship!A:A,0)),
        IFERROR(
            INDEX([1]玩具商品ship!B:B,MATCH(A110,[1]玩具商品ship!A:A,0)),
            IFERROR(
                INDEX([1]OEMship!B:B,MATCH(A110,[1]OEMship!A:A,0)),
                IFERROR(
                    INDEX([1]NV6ship!B:B,MATCH(A110,[1]NV6ship!A:A,0)),
                    IFERROR(
                        INDEX([1]NVship!B:B,MATCH(A110,[1]NVship!A:A,0)),
                        IFERROR(
                            INDEX([1]海ship!B:B,MATCH(A110,[1]海ship!A:A,0)),
                            IFERROR(
                                INDEX([1]ｾﾚship!B:B,MATCH(A110,[1]ｾﾚship!A:A,0)),
                                IFERROR(
                                    INDEX([1]ｾﾚﾓﾆｰ商品ship!B:B,MATCH(A110,[1]ｾﾚﾓﾆｰ商品ship!A:A,0)),
                                    INDEX([2]NV!D:D,MATCH(A110,[2]NV!C:C,0))
                                )
                            )
                        )
                    )
                )
            )
        )
    )
)</f>
        <v>光略ｶｽﾀﾑｼﾝｶｰ60号 ネオンイエロー</v>
      </c>
      <c r="C110" s="4" t="s">
        <v>5</v>
      </c>
      <c r="D110" s="10" t="str">
        <f t="shared" si="3"/>
        <v>光略ｶｽﾀﾑｼﾝｶｰ60号 ネオンイエロー ｜ 1F釣具部屋【04】 ｜ D</v>
      </c>
      <c r="E110" s="11" t="str">
        <f t="shared" si="4"/>
        <v>1F釣具部屋</v>
      </c>
      <c r="F110" s="12" t="s">
        <v>21</v>
      </c>
      <c r="G110" s="11" t="str">
        <f t="shared" si="5"/>
        <v>04・1F釣具部屋D</v>
      </c>
      <c r="H110" s="3"/>
    </row>
    <row r="111" spans="1:8" ht="15" customHeight="1" x14ac:dyDescent="0.2">
      <c r="A111" s="10" t="s">
        <v>27</v>
      </c>
      <c r="B111" s="10" t="str">
        <f>IFERROR(
    INDEX([1]FSHIP!B:B,MATCH(A111,[1]FSHIP!A:A,0)),
    IFERROR(
        INDEX([1]釣具商品ship!B:B,MATCH(A111,[1]釣具商品ship!A:A,0)),
        IFERROR(
            INDEX([1]玩具商品ship!B:B,MATCH(A111,[1]玩具商品ship!A:A,0)),
            IFERROR(
                INDEX([1]OEMship!B:B,MATCH(A111,[1]OEMship!A:A,0)),
                IFERROR(
                    INDEX([1]NV6ship!B:B,MATCH(A111,[1]NV6ship!A:A,0)),
                    IFERROR(
                        INDEX([1]NVship!B:B,MATCH(A111,[1]NVship!A:A,0)),
                        IFERROR(
                            INDEX([1]海ship!B:B,MATCH(A111,[1]海ship!A:A,0)),
                            IFERROR(
                                INDEX([1]ｾﾚship!B:B,MATCH(A111,[1]ｾﾚship!A:A,0)),
                                IFERROR(
                                    INDEX([1]ｾﾚﾓﾆｰ商品ship!B:B,MATCH(A111,[1]ｾﾚﾓﾆｰ商品ship!A:A,0)),
                                    INDEX([2]NV!D:D,MATCH(A111,[2]NV!C:C,0))
                                )
                            )
                        )
                    )
                )
            )
        )
    )
)</f>
        <v>神経絞めセット　ミディアム</v>
      </c>
      <c r="C111" s="4" t="s">
        <v>11</v>
      </c>
      <c r="D111" s="10" t="str">
        <f t="shared" si="3"/>
        <v>神経絞めセット　ミディアム ｜ 1F釣具部屋【04】 ｜ A</v>
      </c>
      <c r="E111" s="11" t="str">
        <f t="shared" si="4"/>
        <v>1F釣具部屋</v>
      </c>
      <c r="F111" s="12" t="s">
        <v>21</v>
      </c>
      <c r="G111" s="11" t="str">
        <f t="shared" si="5"/>
        <v>04・1F釣具部屋A</v>
      </c>
      <c r="H111" s="3"/>
    </row>
    <row r="112" spans="1:8" ht="15" customHeight="1" x14ac:dyDescent="0.2">
      <c r="A112" s="10" t="s">
        <v>256</v>
      </c>
      <c r="B112" s="10" t="str">
        <f>IFERROR(
    INDEX([1]FSHIP!B:B,MATCH(A112,[1]FSHIP!A:A,0)),
    IFERROR(
        INDEX([1]釣具商品ship!B:B,MATCH(A112,[1]釣具商品ship!A:A,0)),
        IFERROR(
            INDEX([1]玩具商品ship!B:B,MATCH(A112,[1]玩具商品ship!A:A,0)),
            IFERROR(
                INDEX([1]OEMship!B:B,MATCH(A112,[1]OEMship!A:A,0)),
                IFERROR(
                    INDEX([1]NV6ship!B:B,MATCH(A112,[1]NV6ship!A:A,0)),
                    IFERROR(
                        INDEX([1]NVship!B:B,MATCH(A112,[1]NVship!A:A,0)),
                        IFERROR(
                            INDEX([1]海ship!B:B,MATCH(A112,[1]海ship!A:A,0)),
                            IFERROR(
                                INDEX([1]ｾﾚship!B:B,MATCH(A112,[1]ｾﾚship!A:A,0)),
                                IFERROR(
                                    INDEX([1]ｾﾚﾓﾆｰ商品ship!B:B,MATCH(A112,[1]ｾﾚﾓﾆｰ商品ship!A:A,0)),
                                    INDEX([2]NV!D:D,MATCH(A112,[2]NV!C:C,0))
                                )
                            )
                        )
                    )
                )
            )
        )
    )
)</f>
        <v>ケミホタル専用チューブ　２５用</v>
      </c>
      <c r="C112" s="4" t="s">
        <v>6</v>
      </c>
      <c r="D112" s="10" t="str">
        <f t="shared" si="3"/>
        <v>ケミホタル専用チューブ　２５用 ｜ 1F釣具部屋【04】 ｜ J</v>
      </c>
      <c r="E112" s="11" t="str">
        <f t="shared" si="4"/>
        <v>1F釣具部屋</v>
      </c>
      <c r="F112" s="12" t="s">
        <v>21</v>
      </c>
      <c r="G112" s="11" t="str">
        <f t="shared" si="5"/>
        <v>04・1F釣具部屋J</v>
      </c>
      <c r="H112" s="3"/>
    </row>
    <row r="113" spans="1:8" ht="15" customHeight="1" x14ac:dyDescent="0.2">
      <c r="A113" s="10" t="s">
        <v>255</v>
      </c>
      <c r="B113" s="10" t="str">
        <f>IFERROR(
    INDEX([1]FSHIP!B:B,MATCH(A113,[1]FSHIP!A:A,0)),
    IFERROR(
        INDEX([1]釣具商品ship!B:B,MATCH(A113,[1]釣具商品ship!A:A,0)),
        IFERROR(
            INDEX([1]玩具商品ship!B:B,MATCH(A113,[1]玩具商品ship!A:A,0)),
            IFERROR(
                INDEX([1]OEMship!B:B,MATCH(A113,[1]OEMship!A:A,0)),
                IFERROR(
                    INDEX([1]NV6ship!B:B,MATCH(A113,[1]NV6ship!A:A,0)),
                    IFERROR(
                        INDEX([1]NVship!B:B,MATCH(A113,[1]NVship!A:A,0)),
                        IFERROR(
                            INDEX([1]海ship!B:B,MATCH(A113,[1]海ship!A:A,0)),
                            IFERROR(
                                INDEX([1]ｾﾚship!B:B,MATCH(A113,[1]ｾﾚship!A:A,0)),
                                IFERROR(
                                    INDEX([1]ｾﾚﾓﾆｰ商品ship!B:B,MATCH(A113,[1]ｾﾚﾓﾆｰ商品ship!A:A,0)),
                                    INDEX([2]NV!D:D,MATCH(A113,[2]NV!C:C,0))
                                )
                            )
                        )
                    )
                )
            )
        )
    )
)</f>
        <v>ケミホタル専用チューブ　３７用</v>
      </c>
      <c r="C113" s="4" t="s">
        <v>6</v>
      </c>
      <c r="D113" s="10" t="str">
        <f t="shared" si="3"/>
        <v>ケミホタル専用チューブ　３７用 ｜ 1F釣具部屋【04】 ｜ J</v>
      </c>
      <c r="E113" s="11" t="str">
        <f t="shared" si="4"/>
        <v>1F釣具部屋</v>
      </c>
      <c r="F113" s="12" t="s">
        <v>21</v>
      </c>
      <c r="G113" s="11" t="str">
        <f t="shared" si="5"/>
        <v>04・1F釣具部屋J</v>
      </c>
      <c r="H113" s="3"/>
    </row>
    <row r="114" spans="1:8" ht="15" customHeight="1" x14ac:dyDescent="0.2">
      <c r="A114" s="10" t="s">
        <v>254</v>
      </c>
      <c r="B114" s="10" t="str">
        <f>IFERROR(
    INDEX([1]FSHIP!B:B,MATCH(A114,[1]FSHIP!A:A,0)),
    IFERROR(
        INDEX([1]釣具商品ship!B:B,MATCH(A114,[1]釣具商品ship!A:A,0)),
        IFERROR(
            INDEX([1]玩具商品ship!B:B,MATCH(A114,[1]玩具商品ship!A:A,0)),
            IFERROR(
                INDEX([1]OEMship!B:B,MATCH(A114,[1]OEMship!A:A,0)),
                IFERROR(
                    INDEX([1]NV6ship!B:B,MATCH(A114,[1]NV6ship!A:A,0)),
                    IFERROR(
                        INDEX([1]NVship!B:B,MATCH(A114,[1]NVship!A:A,0)),
                        IFERROR(
                            INDEX([1]海ship!B:B,MATCH(A114,[1]海ship!A:A,0)),
                            IFERROR(
                                INDEX([1]ｾﾚship!B:B,MATCH(A114,[1]ｾﾚship!A:A,0)),
                                IFERROR(
                                    INDEX([1]ｾﾚﾓﾆｰ商品ship!B:B,MATCH(A114,[1]ｾﾚﾓﾆｰ商品ship!A:A,0)),
                                    INDEX([2]NV!D:D,MATCH(A114,[2]NV!C:C,0))
                                )
                            )
                        )
                    )
                )
            )
        )
    )
)</f>
        <v>ケミホタル専用チューブ　５０用</v>
      </c>
      <c r="C114" s="4" t="s">
        <v>6</v>
      </c>
      <c r="D114" s="10" t="str">
        <f t="shared" si="3"/>
        <v>ケミホタル専用チューブ　５０用 ｜ 1F釣具部屋【04】 ｜ J</v>
      </c>
      <c r="E114" s="11" t="str">
        <f t="shared" si="4"/>
        <v>1F釣具部屋</v>
      </c>
      <c r="F114" s="12" t="s">
        <v>21</v>
      </c>
      <c r="G114" s="11" t="str">
        <f t="shared" si="5"/>
        <v>04・1F釣具部屋J</v>
      </c>
      <c r="H114" s="3"/>
    </row>
    <row r="115" spans="1:8" ht="15" customHeight="1" x14ac:dyDescent="0.2">
      <c r="A115" s="10" t="s">
        <v>253</v>
      </c>
      <c r="B115" s="10" t="str">
        <f>IFERROR(
    INDEX([1]FSHIP!B:B,MATCH(A115,[1]FSHIP!A:A,0)),
    IFERROR(
        INDEX([1]釣具商品ship!B:B,MATCH(A115,[1]釣具商品ship!A:A,0)),
        IFERROR(
            INDEX([1]玩具商品ship!B:B,MATCH(A115,[1]玩具商品ship!A:A,0)),
            IFERROR(
                INDEX([1]OEMship!B:B,MATCH(A115,[1]OEMship!A:A,0)),
                IFERROR(
                    INDEX([1]NV6ship!B:B,MATCH(A115,[1]NV6ship!A:A,0)),
                    IFERROR(
                        INDEX([1]NVship!B:B,MATCH(A115,[1]NVship!A:A,0)),
                        IFERROR(
                            INDEX([1]海ship!B:B,MATCH(A115,[1]海ship!A:A,0)),
                            IFERROR(
                                INDEX([1]ｾﾚship!B:B,MATCH(A115,[1]ｾﾚship!A:A,0)),
                                IFERROR(
                                    INDEX([1]ｾﾚﾓﾆｰ商品ship!B:B,MATCH(A115,[1]ｾﾚﾓﾆｰ商品ship!A:A,0)),
                                    INDEX([2]NV!D:D,MATCH(A115,[2]NV!C:C,0))
                                )
                            )
                        )
                    )
                )
            )
        )
    )
)</f>
        <v>ケミホタル専用チューブ　７５用</v>
      </c>
      <c r="C115" s="4" t="s">
        <v>6</v>
      </c>
      <c r="D115" s="10" t="str">
        <f t="shared" si="3"/>
        <v>ケミホタル専用チューブ　７５用 ｜ 1F釣具部屋【04】 ｜ J</v>
      </c>
      <c r="E115" s="11" t="str">
        <f t="shared" si="4"/>
        <v>1F釣具部屋</v>
      </c>
      <c r="F115" s="12" t="s">
        <v>21</v>
      </c>
      <c r="G115" s="11" t="str">
        <f t="shared" si="5"/>
        <v>04・1F釣具部屋J</v>
      </c>
      <c r="H115" s="3"/>
    </row>
    <row r="116" spans="1:8" ht="15" customHeight="1" x14ac:dyDescent="0.2">
      <c r="A116" s="10" t="s">
        <v>111</v>
      </c>
      <c r="B116" s="10" t="str">
        <f>IFERROR(
    INDEX([1]FSHIP!B:B,MATCH(A116,[1]FSHIP!A:A,0)),
    IFERROR(
        INDEX([1]釣具商品ship!B:B,MATCH(A116,[1]釣具商品ship!A:A,0)),
        IFERROR(
            INDEX([1]玩具商品ship!B:B,MATCH(A116,[1]玩具商品ship!A:A,0)),
            IFERROR(
                INDEX([1]OEMship!B:B,MATCH(A116,[1]OEMship!A:A,0)),
                IFERROR(
                    INDEX([1]NV6ship!B:B,MATCH(A116,[1]NV6ship!A:A,0)),
                    IFERROR(
                        INDEX([1]NVship!B:B,MATCH(A116,[1]NVship!A:A,0)),
                        IFERROR(
                            INDEX([1]海ship!B:B,MATCH(A116,[1]海ship!A:A,0)),
                            IFERROR(
                                INDEX([1]ｾﾚship!B:B,MATCH(A116,[1]ｾﾚship!A:A,0)),
                                IFERROR(
                                    INDEX([1]ｾﾚﾓﾆｰ商品ship!B:B,MATCH(A116,[1]ｾﾚﾓﾆｰ商品ship!A:A,0)),
                                    INDEX([2]NV!D:D,MATCH(A116,[2]NV!C:C,0))
                                )
                            )
                        )
                    )
                )
            )
        )
    )
)</f>
        <v>光略ｶｽﾀﾑｼﾝｶｰSPEED 20号 ﾏｯﾄﾌﾞﾗｯｸ</v>
      </c>
      <c r="C116" s="4" t="s">
        <v>5</v>
      </c>
      <c r="D116" s="10" t="str">
        <f t="shared" si="3"/>
        <v>光略ｶｽﾀﾑｼﾝｶｰSPEED 20号 ﾏｯﾄﾌﾞﾗｯｸ ｜ 1F釣具部屋【04】 ｜ D</v>
      </c>
      <c r="E116" s="11" t="str">
        <f t="shared" si="4"/>
        <v>1F釣具部屋</v>
      </c>
      <c r="F116" s="12" t="s">
        <v>21</v>
      </c>
      <c r="G116" s="11" t="str">
        <f t="shared" si="5"/>
        <v>04・1F釣具部屋D</v>
      </c>
      <c r="H116" s="3"/>
    </row>
    <row r="117" spans="1:8" ht="15" customHeight="1" x14ac:dyDescent="0.2">
      <c r="A117" s="10" t="s">
        <v>112</v>
      </c>
      <c r="B117" s="10" t="str">
        <f>IFERROR(
    INDEX([1]FSHIP!B:B,MATCH(A117,[1]FSHIP!A:A,0)),
    IFERROR(
        INDEX([1]釣具商品ship!B:B,MATCH(A117,[1]釣具商品ship!A:A,0)),
        IFERROR(
            INDEX([1]玩具商品ship!B:B,MATCH(A117,[1]玩具商品ship!A:A,0)),
            IFERROR(
                INDEX([1]OEMship!B:B,MATCH(A117,[1]OEMship!A:A,0)),
                IFERROR(
                    INDEX([1]NV6ship!B:B,MATCH(A117,[1]NV6ship!A:A,0)),
                    IFERROR(
                        INDEX([1]NVship!B:B,MATCH(A117,[1]NVship!A:A,0)),
                        IFERROR(
                            INDEX([1]海ship!B:B,MATCH(A117,[1]海ship!A:A,0)),
                            IFERROR(
                                INDEX([1]ｾﾚship!B:B,MATCH(A117,[1]ｾﾚship!A:A,0)),
                                IFERROR(
                                    INDEX([1]ｾﾚﾓﾆｰ商品ship!B:B,MATCH(A117,[1]ｾﾚﾓﾆｰ商品ship!A:A,0)),
                                    INDEX([2]NV!D:D,MATCH(A117,[2]NV!C:C,0))
                                )
                            )
                        )
                    )
                )
            )
        )
    )
)</f>
        <v>光略ｶｽﾀﾑｼﾝｶｰSPEED 20号 ﾋﾟﾝｸｾﾞﾌﾞﾗ</v>
      </c>
      <c r="C117" s="4" t="s">
        <v>5</v>
      </c>
      <c r="D117" s="10" t="str">
        <f t="shared" si="3"/>
        <v>光略ｶｽﾀﾑｼﾝｶｰSPEED 20号 ﾋﾟﾝｸｾﾞﾌﾞﾗ ｜ 1F釣具部屋【04】 ｜ D</v>
      </c>
      <c r="E117" s="11" t="str">
        <f t="shared" si="4"/>
        <v>1F釣具部屋</v>
      </c>
      <c r="F117" s="12" t="s">
        <v>21</v>
      </c>
      <c r="G117" s="11" t="str">
        <f t="shared" si="5"/>
        <v>04・1F釣具部屋D</v>
      </c>
      <c r="H117" s="3"/>
    </row>
    <row r="118" spans="1:8" ht="15" customHeight="1" x14ac:dyDescent="0.2">
      <c r="A118" s="10" t="s">
        <v>113</v>
      </c>
      <c r="B118" s="10" t="str">
        <f>IFERROR(
    INDEX([1]FSHIP!B:B,MATCH(A118,[1]FSHIP!A:A,0)),
    IFERROR(
        INDEX([1]釣具商品ship!B:B,MATCH(A118,[1]釣具商品ship!A:A,0)),
        IFERROR(
            INDEX([1]玩具商品ship!B:B,MATCH(A118,[1]玩具商品ship!A:A,0)),
            IFERROR(
                INDEX([1]OEMship!B:B,MATCH(A118,[1]OEMship!A:A,0)),
                IFERROR(
                    INDEX([1]NV6ship!B:B,MATCH(A118,[1]NV6ship!A:A,0)),
                    IFERROR(
                        INDEX([1]NVship!B:B,MATCH(A118,[1]NVship!A:A,0)),
                        IFERROR(
                            INDEX([1]海ship!B:B,MATCH(A118,[1]海ship!A:A,0)),
                            IFERROR(
                                INDEX([1]ｾﾚship!B:B,MATCH(A118,[1]ｾﾚship!A:A,0)),
                                IFERROR(
                                    INDEX([1]ｾﾚﾓﾆｰ商品ship!B:B,MATCH(A118,[1]ｾﾚﾓﾆｰ商品ship!A:A,0)),
                                    INDEX([2]NV!D:D,MATCH(A118,[2]NV!C:C,0))
                                )
                            )
                        )
                    )
                )
            )
        )
    )
)</f>
        <v>光略ｶｽﾀﾑｼﾝｶｰSPEED 20号 床屋</v>
      </c>
      <c r="C118" s="4" t="s">
        <v>5</v>
      </c>
      <c r="D118" s="10" t="str">
        <f t="shared" si="3"/>
        <v>光略ｶｽﾀﾑｼﾝｶｰSPEED 20号 床屋 ｜ 1F釣具部屋【04】 ｜ D</v>
      </c>
      <c r="E118" s="11" t="str">
        <f t="shared" si="4"/>
        <v>1F釣具部屋</v>
      </c>
      <c r="F118" s="12" t="s">
        <v>21</v>
      </c>
      <c r="G118" s="11" t="str">
        <f t="shared" si="5"/>
        <v>04・1F釣具部屋D</v>
      </c>
      <c r="H118" s="3"/>
    </row>
    <row r="119" spans="1:8" ht="15" customHeight="1" x14ac:dyDescent="0.2">
      <c r="A119" s="10" t="s">
        <v>114</v>
      </c>
      <c r="B119" s="10" t="str">
        <f>IFERROR(
    INDEX([1]FSHIP!B:B,MATCH(A119,[1]FSHIP!A:A,0)),
    IFERROR(
        INDEX([1]釣具商品ship!B:B,MATCH(A119,[1]釣具商品ship!A:A,0)),
        IFERROR(
            INDEX([1]玩具商品ship!B:B,MATCH(A119,[1]玩具商品ship!A:A,0)),
            IFERROR(
                INDEX([1]OEMship!B:B,MATCH(A119,[1]OEMship!A:A,0)),
                IFERROR(
                    INDEX([1]NV6ship!B:B,MATCH(A119,[1]NV6ship!A:A,0)),
                    IFERROR(
                        INDEX([1]NVship!B:B,MATCH(A119,[1]NVship!A:A,0)),
                        IFERROR(
                            INDEX([1]海ship!B:B,MATCH(A119,[1]海ship!A:A,0)),
                            IFERROR(
                                INDEX([1]ｾﾚship!B:B,MATCH(A119,[1]ｾﾚship!A:A,0)),
                                IFERROR(
                                    INDEX([1]ｾﾚﾓﾆｰ商品ship!B:B,MATCH(A119,[1]ｾﾚﾓﾆｰ商品ship!A:A,0)),
                                    INDEX([2]NV!D:D,MATCH(A119,[2]NV!C:C,0))
                                )
                            )
                        )
                    )
                )
            )
        )
    )
)</f>
        <v>光略ｶｽﾀﾑｼﾝｶｰSPEED 25号 ｸﾞﾛｰ</v>
      </c>
      <c r="C119" s="4" t="s">
        <v>5</v>
      </c>
      <c r="D119" s="10" t="str">
        <f t="shared" si="3"/>
        <v>光略ｶｽﾀﾑｼﾝｶｰSPEED 25号 ｸﾞﾛｰ ｜ 1F釣具部屋【04】 ｜ D</v>
      </c>
      <c r="E119" s="11" t="str">
        <f t="shared" si="4"/>
        <v>1F釣具部屋</v>
      </c>
      <c r="F119" s="12" t="s">
        <v>21</v>
      </c>
      <c r="G119" s="11" t="str">
        <f t="shared" si="5"/>
        <v>04・1F釣具部屋D</v>
      </c>
      <c r="H119" s="3"/>
    </row>
    <row r="120" spans="1:8" ht="15" customHeight="1" x14ac:dyDescent="0.2">
      <c r="A120" s="10" t="s">
        <v>115</v>
      </c>
      <c r="B120" s="10" t="str">
        <f>IFERROR(
    INDEX([1]FSHIP!B:B,MATCH(A120,[1]FSHIP!A:A,0)),
    IFERROR(
        INDEX([1]釣具商品ship!B:B,MATCH(A120,[1]釣具商品ship!A:A,0)),
        IFERROR(
            INDEX([1]玩具商品ship!B:B,MATCH(A120,[1]玩具商品ship!A:A,0)),
            IFERROR(
                INDEX([1]OEMship!B:B,MATCH(A120,[1]OEMship!A:A,0)),
                IFERROR(
                    INDEX([1]NV6ship!B:B,MATCH(A120,[1]NV6ship!A:A,0)),
                    IFERROR(
                        INDEX([1]NVship!B:B,MATCH(A120,[1]NVship!A:A,0)),
                        IFERROR(
                            INDEX([1]海ship!B:B,MATCH(A120,[1]海ship!A:A,0)),
                            IFERROR(
                                INDEX([1]ｾﾚship!B:B,MATCH(A120,[1]ｾﾚship!A:A,0)),
                                IFERROR(
                                    INDEX([1]ｾﾚﾓﾆｰ商品ship!B:B,MATCH(A120,[1]ｾﾚﾓﾆｰ商品ship!A:A,0)),
                                    INDEX([2]NV!D:D,MATCH(A120,[2]NV!C:C,0))
                                )
                            )
                        )
                    )
                )
            )
        )
    )
)</f>
        <v>光略ｶｽﾀﾑｼﾝｶｰSPEED 25号 ﾏｯﾄﾌﾞﾗｯｸ</v>
      </c>
      <c r="C120" s="4" t="s">
        <v>5</v>
      </c>
      <c r="D120" s="10" t="str">
        <f t="shared" si="3"/>
        <v>光略ｶｽﾀﾑｼﾝｶｰSPEED 25号 ﾏｯﾄﾌﾞﾗｯｸ ｜ 1F釣具部屋【04】 ｜ D</v>
      </c>
      <c r="E120" s="11" t="str">
        <f t="shared" si="4"/>
        <v>1F釣具部屋</v>
      </c>
      <c r="F120" s="12" t="s">
        <v>21</v>
      </c>
      <c r="G120" s="11" t="str">
        <f t="shared" si="5"/>
        <v>04・1F釣具部屋D</v>
      </c>
      <c r="H120" s="3"/>
    </row>
    <row r="121" spans="1:8" ht="15" customHeight="1" x14ac:dyDescent="0.2">
      <c r="A121" s="10" t="s">
        <v>116</v>
      </c>
      <c r="B121" s="10" t="str">
        <f>IFERROR(
    INDEX([1]FSHIP!B:B,MATCH(A121,[1]FSHIP!A:A,0)),
    IFERROR(
        INDEX([1]釣具商品ship!B:B,MATCH(A121,[1]釣具商品ship!A:A,0)),
        IFERROR(
            INDEX([1]玩具商品ship!B:B,MATCH(A121,[1]玩具商品ship!A:A,0)),
            IFERROR(
                INDEX([1]OEMship!B:B,MATCH(A121,[1]OEMship!A:A,0)),
                IFERROR(
                    INDEX([1]NV6ship!B:B,MATCH(A121,[1]NV6ship!A:A,0)),
                    IFERROR(
                        INDEX([1]NVship!B:B,MATCH(A121,[1]NVship!A:A,0)),
                        IFERROR(
                            INDEX([1]海ship!B:B,MATCH(A121,[1]海ship!A:A,0)),
                            IFERROR(
                                INDEX([1]ｾﾚship!B:B,MATCH(A121,[1]ｾﾚship!A:A,0)),
                                IFERROR(
                                    INDEX([1]ｾﾚﾓﾆｰ商品ship!B:B,MATCH(A121,[1]ｾﾚﾓﾆｰ商品ship!A:A,0)),
                                    INDEX([2]NV!D:D,MATCH(A121,[2]NV!C:C,0))
                                )
                            )
                        )
                    )
                )
            )
        )
    )
)</f>
        <v>光略ｶｽﾀﾑｼﾝｶｰSPEED 25号 ﾋﾟﾝｸｾﾞﾌﾞﾗ</v>
      </c>
      <c r="C121" s="4" t="s">
        <v>5</v>
      </c>
      <c r="D121" s="10" t="str">
        <f t="shared" si="3"/>
        <v>光略ｶｽﾀﾑｼﾝｶｰSPEED 25号 ﾋﾟﾝｸｾﾞﾌﾞﾗ ｜ 1F釣具部屋【04】 ｜ D</v>
      </c>
      <c r="E121" s="11" t="str">
        <f t="shared" si="4"/>
        <v>1F釣具部屋</v>
      </c>
      <c r="F121" s="12" t="s">
        <v>21</v>
      </c>
      <c r="G121" s="11" t="str">
        <f t="shared" si="5"/>
        <v>04・1F釣具部屋D</v>
      </c>
      <c r="H121" s="3"/>
    </row>
    <row r="122" spans="1:8" ht="15" customHeight="1" x14ac:dyDescent="0.2">
      <c r="A122" s="10" t="s">
        <v>117</v>
      </c>
      <c r="B122" s="10" t="str">
        <f>IFERROR(
    INDEX([1]FSHIP!B:B,MATCH(A122,[1]FSHIP!A:A,0)),
    IFERROR(
        INDEX([1]釣具商品ship!B:B,MATCH(A122,[1]釣具商品ship!A:A,0)),
        IFERROR(
            INDEX([1]玩具商品ship!B:B,MATCH(A122,[1]玩具商品ship!A:A,0)),
            IFERROR(
                INDEX([1]OEMship!B:B,MATCH(A122,[1]OEMship!A:A,0)),
                IFERROR(
                    INDEX([1]NV6ship!B:B,MATCH(A122,[1]NV6ship!A:A,0)),
                    IFERROR(
                        INDEX([1]NVship!B:B,MATCH(A122,[1]NVship!A:A,0)),
                        IFERROR(
                            INDEX([1]海ship!B:B,MATCH(A122,[1]海ship!A:A,0)),
                            IFERROR(
                                INDEX([1]ｾﾚship!B:B,MATCH(A122,[1]ｾﾚship!A:A,0)),
                                IFERROR(
                                    INDEX([1]ｾﾚﾓﾆｰ商品ship!B:B,MATCH(A122,[1]ｾﾚﾓﾆｰ商品ship!A:A,0)),
                                    INDEX([2]NV!D:D,MATCH(A122,[2]NV!C:C,0))
                                )
                            )
                        )
                    )
                )
            )
        )
    )
)</f>
        <v>光略ｶｽﾀﾑｼﾝｶｰSPEED 25号 床屋</v>
      </c>
      <c r="C122" s="4" t="s">
        <v>5</v>
      </c>
      <c r="D122" s="10" t="str">
        <f t="shared" si="3"/>
        <v>光略ｶｽﾀﾑｼﾝｶｰSPEED 25号 床屋 ｜ 1F釣具部屋【04】 ｜ D</v>
      </c>
      <c r="E122" s="11" t="str">
        <f t="shared" si="4"/>
        <v>1F釣具部屋</v>
      </c>
      <c r="F122" s="12" t="s">
        <v>21</v>
      </c>
      <c r="G122" s="11" t="str">
        <f t="shared" si="5"/>
        <v>04・1F釣具部屋D</v>
      </c>
      <c r="H122" s="3"/>
    </row>
    <row r="123" spans="1:8" ht="15" customHeight="1" x14ac:dyDescent="0.2">
      <c r="A123" s="10" t="s">
        <v>118</v>
      </c>
      <c r="B123" s="10" t="str">
        <f>IFERROR(
    INDEX([1]FSHIP!B:B,MATCH(A123,[1]FSHIP!A:A,0)),
    IFERROR(
        INDEX([1]釣具商品ship!B:B,MATCH(A123,[1]釣具商品ship!A:A,0)),
        IFERROR(
            INDEX([1]玩具商品ship!B:B,MATCH(A123,[1]玩具商品ship!A:A,0)),
            IFERROR(
                INDEX([1]OEMship!B:B,MATCH(A123,[1]OEMship!A:A,0)),
                IFERROR(
                    INDEX([1]NV6ship!B:B,MATCH(A123,[1]NV6ship!A:A,0)),
                    IFERROR(
                        INDEX([1]NVship!B:B,MATCH(A123,[1]NVship!A:A,0)),
                        IFERROR(
                            INDEX([1]海ship!B:B,MATCH(A123,[1]海ship!A:A,0)),
                            IFERROR(
                                INDEX([1]ｾﾚship!B:B,MATCH(A123,[1]ｾﾚship!A:A,0)),
                                IFERROR(
                                    INDEX([1]ｾﾚﾓﾆｰ商品ship!B:B,MATCH(A123,[1]ｾﾚﾓﾆｰ商品ship!A:A,0)),
                                    INDEX([2]NV!D:D,MATCH(A123,[2]NV!C:C,0))
                                )
                            )
                        )
                    )
                )
            )
        )
    )
)</f>
        <v>光略ｶｽﾀﾑｼﾝｶｰSPEED 40号 床屋</v>
      </c>
      <c r="C123" s="4" t="s">
        <v>5</v>
      </c>
      <c r="D123" s="10" t="str">
        <f t="shared" si="3"/>
        <v>光略ｶｽﾀﾑｼﾝｶｰSPEED 40号 床屋 ｜ 1F釣具部屋【04】 ｜ D</v>
      </c>
      <c r="E123" s="11" t="str">
        <f t="shared" si="4"/>
        <v>1F釣具部屋</v>
      </c>
      <c r="F123" s="12" t="s">
        <v>21</v>
      </c>
      <c r="G123" s="11" t="str">
        <f t="shared" si="5"/>
        <v>04・1F釣具部屋D</v>
      </c>
      <c r="H123" s="3"/>
    </row>
    <row r="124" spans="1:8" ht="15" customHeight="1" x14ac:dyDescent="0.2">
      <c r="A124" s="10" t="s">
        <v>119</v>
      </c>
      <c r="B124" s="10" t="str">
        <f>IFERROR(
    INDEX([1]FSHIP!B:B,MATCH(A124,[1]FSHIP!A:A,0)),
    IFERROR(
        INDEX([1]釣具商品ship!B:B,MATCH(A124,[1]釣具商品ship!A:A,0)),
        IFERROR(
            INDEX([1]玩具商品ship!B:B,MATCH(A124,[1]玩具商品ship!A:A,0)),
            IFERROR(
                INDEX([1]OEMship!B:B,MATCH(A124,[1]OEMship!A:A,0)),
                IFERROR(
                    INDEX([1]NV6ship!B:B,MATCH(A124,[1]NV6ship!A:A,0)),
                    IFERROR(
                        INDEX([1]NVship!B:B,MATCH(A124,[1]NVship!A:A,0)),
                        IFERROR(
                            INDEX([1]海ship!B:B,MATCH(A124,[1]海ship!A:A,0)),
                            IFERROR(
                                INDEX([1]ｾﾚship!B:B,MATCH(A124,[1]ｾﾚship!A:A,0)),
                                IFERROR(
                                    INDEX([1]ｾﾚﾓﾆｰ商品ship!B:B,MATCH(A124,[1]ｾﾚﾓﾆｰ商品ship!A:A,0)),
                                    INDEX([2]NV!D:D,MATCH(A124,[2]NV!C:C,0))
                                )
                            )
                        )
                    )
                )
            )
        )
    )
)</f>
        <v>光略ｶｽﾀﾑｼﾝｶｰSPEED 10号 ﾏｯﾄﾌﾞﾗｯｸ</v>
      </c>
      <c r="C124" s="4" t="s">
        <v>5</v>
      </c>
      <c r="D124" s="10" t="str">
        <f t="shared" si="3"/>
        <v>光略ｶｽﾀﾑｼﾝｶｰSPEED 10号 ﾏｯﾄﾌﾞﾗｯｸ ｜ 1F釣具部屋【04】 ｜ D</v>
      </c>
      <c r="E124" s="11" t="str">
        <f t="shared" si="4"/>
        <v>1F釣具部屋</v>
      </c>
      <c r="F124" s="12" t="s">
        <v>21</v>
      </c>
      <c r="G124" s="11" t="str">
        <f t="shared" si="5"/>
        <v>04・1F釣具部屋D</v>
      </c>
      <c r="H124" s="3"/>
    </row>
    <row r="125" spans="1:8" ht="15" customHeight="1" x14ac:dyDescent="0.2">
      <c r="A125" s="10" t="s">
        <v>120</v>
      </c>
      <c r="B125" s="10" t="str">
        <f>IFERROR(
    INDEX([1]FSHIP!B:B,MATCH(A125,[1]FSHIP!A:A,0)),
    IFERROR(
        INDEX([1]釣具商品ship!B:B,MATCH(A125,[1]釣具商品ship!A:A,0)),
        IFERROR(
            INDEX([1]玩具商品ship!B:B,MATCH(A125,[1]玩具商品ship!A:A,0)),
            IFERROR(
                INDEX([1]OEMship!B:B,MATCH(A125,[1]OEMship!A:A,0)),
                IFERROR(
                    INDEX([1]NV6ship!B:B,MATCH(A125,[1]NV6ship!A:A,0)),
                    IFERROR(
                        INDEX([1]NVship!B:B,MATCH(A125,[1]NVship!A:A,0)),
                        IFERROR(
                            INDEX([1]海ship!B:B,MATCH(A125,[1]海ship!A:A,0)),
                            IFERROR(
                                INDEX([1]ｾﾚship!B:B,MATCH(A125,[1]ｾﾚship!A:A,0)),
                                IFERROR(
                                    INDEX([1]ｾﾚﾓﾆｰ商品ship!B:B,MATCH(A125,[1]ｾﾚﾓﾆｰ商品ship!A:A,0)),
                                    INDEX([2]NV!D:D,MATCH(A125,[2]NV!C:C,0))
                                )
                            )
                        )
                    )
                )
            )
        )
    )
)</f>
        <v>光略ｶｽﾀﾑｼﾝｶｰSPEED 10号 床屋</v>
      </c>
      <c r="C125" s="4" t="s">
        <v>5</v>
      </c>
      <c r="D125" s="10" t="str">
        <f t="shared" si="3"/>
        <v>光略ｶｽﾀﾑｼﾝｶｰSPEED 10号 床屋 ｜ 1F釣具部屋【04】 ｜ D</v>
      </c>
      <c r="E125" s="11" t="str">
        <f t="shared" si="4"/>
        <v>1F釣具部屋</v>
      </c>
      <c r="F125" s="12" t="s">
        <v>21</v>
      </c>
      <c r="G125" s="11" t="str">
        <f t="shared" si="5"/>
        <v>04・1F釣具部屋D</v>
      </c>
      <c r="H125" s="3"/>
    </row>
    <row r="126" spans="1:8" ht="15" customHeight="1" x14ac:dyDescent="0.2">
      <c r="A126" s="10" t="s">
        <v>121</v>
      </c>
      <c r="B126" s="10" t="str">
        <f>IFERROR(
    INDEX([1]FSHIP!B:B,MATCH(A126,[1]FSHIP!A:A,0)),
    IFERROR(
        INDEX([1]釣具商品ship!B:B,MATCH(A126,[1]釣具商品ship!A:A,0)),
        IFERROR(
            INDEX([1]玩具商品ship!B:B,MATCH(A126,[1]玩具商品ship!A:A,0)),
            IFERROR(
                INDEX([1]OEMship!B:B,MATCH(A126,[1]OEMship!A:A,0)),
                IFERROR(
                    INDEX([1]NV6ship!B:B,MATCH(A126,[1]NV6ship!A:A,0)),
                    IFERROR(
                        INDEX([1]NVship!B:B,MATCH(A126,[1]NVship!A:A,0)),
                        IFERROR(
                            INDEX([1]海ship!B:B,MATCH(A126,[1]海ship!A:A,0)),
                            IFERROR(
                                INDEX([1]ｾﾚship!B:B,MATCH(A126,[1]ｾﾚship!A:A,0)),
                                IFERROR(
                                    INDEX([1]ｾﾚﾓﾆｰ商品ship!B:B,MATCH(A126,[1]ｾﾚﾓﾆｰ商品ship!A:A,0)),
                                    INDEX([2]NV!D:D,MATCH(A126,[2]NV!C:C,0))
                                )
                            )
                        )
                    )
                )
            )
        )
    )
)</f>
        <v>光略ｶｽﾀﾑｼﾝｶｰSPEED 15号 ｸﾞﾛｰ</v>
      </c>
      <c r="C126" s="4" t="s">
        <v>5</v>
      </c>
      <c r="D126" s="10" t="str">
        <f t="shared" si="3"/>
        <v>光略ｶｽﾀﾑｼﾝｶｰSPEED 15号 ｸﾞﾛｰ ｜ 1F釣具部屋【04】 ｜ D</v>
      </c>
      <c r="E126" s="11" t="str">
        <f t="shared" si="4"/>
        <v>1F釣具部屋</v>
      </c>
      <c r="F126" s="12" t="s">
        <v>21</v>
      </c>
      <c r="G126" s="11" t="str">
        <f t="shared" si="5"/>
        <v>04・1F釣具部屋D</v>
      </c>
      <c r="H126" s="3"/>
    </row>
    <row r="127" spans="1:8" ht="15" customHeight="1" x14ac:dyDescent="0.2">
      <c r="A127" s="10" t="s">
        <v>122</v>
      </c>
      <c r="B127" s="10" t="str">
        <f>IFERROR(
    INDEX([1]FSHIP!B:B,MATCH(A127,[1]FSHIP!A:A,0)),
    IFERROR(
        INDEX([1]釣具商品ship!B:B,MATCH(A127,[1]釣具商品ship!A:A,0)),
        IFERROR(
            INDEX([1]玩具商品ship!B:B,MATCH(A127,[1]玩具商品ship!A:A,0)),
            IFERROR(
                INDEX([1]OEMship!B:B,MATCH(A127,[1]OEMship!A:A,0)),
                IFERROR(
                    INDEX([1]NV6ship!B:B,MATCH(A127,[1]NV6ship!A:A,0)),
                    IFERROR(
                        INDEX([1]NVship!B:B,MATCH(A127,[1]NVship!A:A,0)),
                        IFERROR(
                            INDEX([1]海ship!B:B,MATCH(A127,[1]海ship!A:A,0)),
                            IFERROR(
                                INDEX([1]ｾﾚship!B:B,MATCH(A127,[1]ｾﾚship!A:A,0)),
                                IFERROR(
                                    INDEX([1]ｾﾚﾓﾆｰ商品ship!B:B,MATCH(A127,[1]ｾﾚﾓﾆｰ商品ship!A:A,0)),
                                    INDEX([2]NV!D:D,MATCH(A127,[2]NV!C:C,0))
                                )
                            )
                        )
                    )
                )
            )
        )
    )
)</f>
        <v>光略ｶｽﾀﾑｼﾝｶｰSPEED 15号 ﾏｯﾄﾌﾞﾗｯｸ</v>
      </c>
      <c r="C127" s="4" t="s">
        <v>5</v>
      </c>
      <c r="D127" s="10" t="str">
        <f t="shared" si="3"/>
        <v>光略ｶｽﾀﾑｼﾝｶｰSPEED 15号 ﾏｯﾄﾌﾞﾗｯｸ ｜ 1F釣具部屋【04】 ｜ D</v>
      </c>
      <c r="E127" s="11" t="str">
        <f t="shared" si="4"/>
        <v>1F釣具部屋</v>
      </c>
      <c r="F127" s="12" t="s">
        <v>21</v>
      </c>
      <c r="G127" s="11" t="str">
        <f t="shared" si="5"/>
        <v>04・1F釣具部屋D</v>
      </c>
      <c r="H127" s="3"/>
    </row>
    <row r="128" spans="1:8" ht="15" customHeight="1" x14ac:dyDescent="0.2">
      <c r="A128" s="10" t="s">
        <v>123</v>
      </c>
      <c r="B128" s="10" t="str">
        <f>IFERROR(
    INDEX([1]FSHIP!B:B,MATCH(A128,[1]FSHIP!A:A,0)),
    IFERROR(
        INDEX([1]釣具商品ship!B:B,MATCH(A128,[1]釣具商品ship!A:A,0)),
        IFERROR(
            INDEX([1]玩具商品ship!B:B,MATCH(A128,[1]玩具商品ship!A:A,0)),
            IFERROR(
                INDEX([1]OEMship!B:B,MATCH(A128,[1]OEMship!A:A,0)),
                IFERROR(
                    INDEX([1]NV6ship!B:B,MATCH(A128,[1]NV6ship!A:A,0)),
                    IFERROR(
                        INDEX([1]NVship!B:B,MATCH(A128,[1]NVship!A:A,0)),
                        IFERROR(
                            INDEX([1]海ship!B:B,MATCH(A128,[1]海ship!A:A,0)),
                            IFERROR(
                                INDEX([1]ｾﾚship!B:B,MATCH(A128,[1]ｾﾚship!A:A,0)),
                                IFERROR(
                                    INDEX([1]ｾﾚﾓﾆｰ商品ship!B:B,MATCH(A128,[1]ｾﾚﾓﾆｰ商品ship!A:A,0)),
                                    INDEX([2]NV!D:D,MATCH(A128,[2]NV!C:C,0))
                                )
                            )
                        )
                    )
                )
            )
        )
    )
)</f>
        <v>光略ｶｽﾀﾑｼﾝｶｰSPEED 15号 ﾋﾟﾝｸｾﾞﾌﾞﾗ</v>
      </c>
      <c r="C128" s="4" t="s">
        <v>5</v>
      </c>
      <c r="D128" s="10" t="str">
        <f t="shared" si="3"/>
        <v>光略ｶｽﾀﾑｼﾝｶｰSPEED 15号 ﾋﾟﾝｸｾﾞﾌﾞﾗ ｜ 1F釣具部屋【04】 ｜ D</v>
      </c>
      <c r="E128" s="11" t="str">
        <f t="shared" si="4"/>
        <v>1F釣具部屋</v>
      </c>
      <c r="F128" s="12" t="s">
        <v>21</v>
      </c>
      <c r="G128" s="11" t="str">
        <f t="shared" si="5"/>
        <v>04・1F釣具部屋D</v>
      </c>
      <c r="H128" s="3"/>
    </row>
    <row r="129" spans="1:8" ht="15" customHeight="1" x14ac:dyDescent="0.2">
      <c r="A129" s="10" t="s">
        <v>124</v>
      </c>
      <c r="B129" s="10" t="str">
        <f>IFERROR(
    INDEX([1]FSHIP!B:B,MATCH(A129,[1]FSHIP!A:A,0)),
    IFERROR(
        INDEX([1]釣具商品ship!B:B,MATCH(A129,[1]釣具商品ship!A:A,0)),
        IFERROR(
            INDEX([1]玩具商品ship!B:B,MATCH(A129,[1]玩具商品ship!A:A,0)),
            IFERROR(
                INDEX([1]OEMship!B:B,MATCH(A129,[1]OEMship!A:A,0)),
                IFERROR(
                    INDEX([1]NV6ship!B:B,MATCH(A129,[1]NV6ship!A:A,0)),
                    IFERROR(
                        INDEX([1]NVship!B:B,MATCH(A129,[1]NVship!A:A,0)),
                        IFERROR(
                            INDEX([1]海ship!B:B,MATCH(A129,[1]海ship!A:A,0)),
                            IFERROR(
                                INDEX([1]ｾﾚship!B:B,MATCH(A129,[1]ｾﾚship!A:A,0)),
                                IFERROR(
                                    INDEX([1]ｾﾚﾓﾆｰ商品ship!B:B,MATCH(A129,[1]ｾﾚﾓﾆｰ商品ship!A:A,0)),
                                    INDEX([2]NV!D:D,MATCH(A129,[2]NV!C:C,0))
                                )
                            )
                        )
                    )
                )
            )
        )
    )
)</f>
        <v>光略ｶｽﾀﾑｼﾝｶｰSPEED 15号 床屋</v>
      </c>
      <c r="C129" s="4" t="s">
        <v>5</v>
      </c>
      <c r="D129" s="10" t="str">
        <f t="shared" si="3"/>
        <v>光略ｶｽﾀﾑｼﾝｶｰSPEED 15号 床屋 ｜ 1F釣具部屋【04】 ｜ D</v>
      </c>
      <c r="E129" s="11" t="str">
        <f t="shared" si="4"/>
        <v>1F釣具部屋</v>
      </c>
      <c r="F129" s="12" t="s">
        <v>21</v>
      </c>
      <c r="G129" s="11" t="str">
        <f t="shared" si="5"/>
        <v>04・1F釣具部屋D</v>
      </c>
      <c r="H129" s="3"/>
    </row>
    <row r="130" spans="1:8" ht="15" customHeight="1" x14ac:dyDescent="0.2">
      <c r="A130" s="10" t="s">
        <v>48</v>
      </c>
      <c r="B130" s="10" t="str">
        <f>IFERROR(
    INDEX([1]FSHIP!B:B,MATCH(A130,[1]FSHIP!A:A,0)),
    IFERROR(
        INDEX([1]釣具商品ship!B:B,MATCH(A130,[1]釣具商品ship!A:A,0)),
        IFERROR(
            INDEX([1]玩具商品ship!B:B,MATCH(A130,[1]玩具商品ship!A:A,0)),
            IFERROR(
                INDEX([1]OEMship!B:B,MATCH(A130,[1]OEMship!A:A,0)),
                IFERROR(
                    INDEX([1]NV6ship!B:B,MATCH(A130,[1]NV6ship!A:A,0)),
                    IFERROR(
                        INDEX([1]NVship!B:B,MATCH(A130,[1]NVship!A:A,0)),
                        IFERROR(
                            INDEX([1]海ship!B:B,MATCH(A130,[1]海ship!A:A,0)),
                            IFERROR(
                                INDEX([1]ｾﾚship!B:B,MATCH(A130,[1]ｾﾚship!A:A,0)),
                                IFERROR(
                                    INDEX([1]ｾﾚﾓﾆｰ商品ship!B:B,MATCH(A130,[1]ｾﾚﾓﾆｰ商品ship!A:A,0)),
                                    INDEX([2]NV!D:D,MATCH(A130,[2]NV!C:C,0))
                                )
                            )
                        )
                    )
                )
            )
        )
    )
)</f>
        <v>クイック糸巻プラス</v>
      </c>
      <c r="C130" s="4" t="s">
        <v>9</v>
      </c>
      <c r="D130" s="10" t="str">
        <f t="shared" ref="D130:D193" si="6">B130&amp;" ｜ "&amp;E130&amp;"【"&amp;F130&amp;"】 ｜ "&amp;C130</f>
        <v>クイック糸巻プラス ｜ 1F釣具部屋【04】 ｜ B</v>
      </c>
      <c r="E130" s="11" t="str">
        <f t="shared" ref="E130:E193" si="7">INDEX(K:K, MATCH(F130, J:J, 0))</f>
        <v>1F釣具部屋</v>
      </c>
      <c r="F130" s="12" t="s">
        <v>21</v>
      </c>
      <c r="G130" s="11" t="str">
        <f t="shared" ref="G130:G193" si="8">F130&amp;"・"&amp;E130&amp;C130</f>
        <v>04・1F釣具部屋B</v>
      </c>
      <c r="H130" s="3"/>
    </row>
    <row r="131" spans="1:8" ht="15" customHeight="1" x14ac:dyDescent="0.2">
      <c r="A131" s="10" t="s">
        <v>92</v>
      </c>
      <c r="B131" s="10" t="str">
        <f>IFERROR(
    INDEX([1]FSHIP!B:B,MATCH(A131,[1]FSHIP!A:A,0)),
    IFERROR(
        INDEX([1]釣具商品ship!B:B,MATCH(A131,[1]釣具商品ship!A:A,0)),
        IFERROR(
            INDEX([1]玩具商品ship!B:B,MATCH(A131,[1]玩具商品ship!A:A,0)),
            IFERROR(
                INDEX([1]OEMship!B:B,MATCH(A131,[1]OEMship!A:A,0)),
                IFERROR(
                    INDEX([1]NV6ship!B:B,MATCH(A131,[1]NV6ship!A:A,0)),
                    IFERROR(
                        INDEX([1]NVship!B:B,MATCH(A131,[1]NVship!A:A,0)),
                        IFERROR(
                            INDEX([1]海ship!B:B,MATCH(A131,[1]海ship!A:A,0)),
                            IFERROR(
                                INDEX([1]ｾﾚship!B:B,MATCH(A131,[1]ｾﾚship!A:A,0)),
                                IFERROR(
                                    INDEX([1]ｾﾚﾓﾆｰ商品ship!B:B,MATCH(A131,[1]ｾﾚﾓﾆｰ商品ship!A:A,0)),
                                    INDEX([2]NV!D:D,MATCH(A131,[2]NV!C:C,0))
                                )
                            )
                        )
                    )
                )
            )
        )
    )
)</f>
        <v>光略ｶｽﾀﾑｼﾝｶｰ25号ｷｬﾝﾃﾞｨﾗﾒ</v>
      </c>
      <c r="C131" s="4" t="s">
        <v>5</v>
      </c>
      <c r="D131" s="10" t="str">
        <f t="shared" si="6"/>
        <v>光略ｶｽﾀﾑｼﾝｶｰ25号ｷｬﾝﾃﾞｨﾗﾒ ｜ 1F釣具部屋【04】 ｜ D</v>
      </c>
      <c r="E131" s="11" t="str">
        <f t="shared" si="7"/>
        <v>1F釣具部屋</v>
      </c>
      <c r="F131" s="12" t="s">
        <v>21</v>
      </c>
      <c r="G131" s="11" t="str">
        <f t="shared" si="8"/>
        <v>04・1F釣具部屋D</v>
      </c>
      <c r="H131" s="3"/>
    </row>
    <row r="132" spans="1:8" ht="15" customHeight="1" x14ac:dyDescent="0.2">
      <c r="A132" s="10" t="s">
        <v>93</v>
      </c>
      <c r="B132" s="10" t="str">
        <f>IFERROR(
    INDEX([1]FSHIP!B:B,MATCH(A132,[1]FSHIP!A:A,0)),
    IFERROR(
        INDEX([1]釣具商品ship!B:B,MATCH(A132,[1]釣具商品ship!A:A,0)),
        IFERROR(
            INDEX([1]玩具商品ship!B:B,MATCH(A132,[1]玩具商品ship!A:A,0)),
            IFERROR(
                INDEX([1]OEMship!B:B,MATCH(A132,[1]OEMship!A:A,0)),
                IFERROR(
                    INDEX([1]NV6ship!B:B,MATCH(A132,[1]NV6ship!A:A,0)),
                    IFERROR(
                        INDEX([1]NVship!B:B,MATCH(A132,[1]NVship!A:A,0)),
                        IFERROR(
                            INDEX([1]海ship!B:B,MATCH(A132,[1]海ship!A:A,0)),
                            IFERROR(
                                INDEX([1]ｾﾚship!B:B,MATCH(A132,[1]ｾﾚship!A:A,0)),
                                IFERROR(
                                    INDEX([1]ｾﾚﾓﾆｰ商品ship!B:B,MATCH(A132,[1]ｾﾚﾓﾆｰ商品ship!A:A,0)),
                                    INDEX([2]NV!D:D,MATCH(A132,[2]NV!C:C,0))
                                )
                            )
                        )
                    )
                )
            )
        )
    )
)</f>
        <v>光略ｶｽﾀﾑｼﾝｶｰ25号ｱｶｷﾝﾏﾝｺﾞｰ</v>
      </c>
      <c r="C132" s="4" t="s">
        <v>5</v>
      </c>
      <c r="D132" s="10" t="str">
        <f t="shared" si="6"/>
        <v>光略ｶｽﾀﾑｼﾝｶｰ25号ｱｶｷﾝﾏﾝｺﾞｰ ｜ 1F釣具部屋【04】 ｜ D</v>
      </c>
      <c r="E132" s="11" t="str">
        <f t="shared" si="7"/>
        <v>1F釣具部屋</v>
      </c>
      <c r="F132" s="12" t="s">
        <v>21</v>
      </c>
      <c r="G132" s="11" t="str">
        <f t="shared" si="8"/>
        <v>04・1F釣具部屋D</v>
      </c>
      <c r="H132" s="3"/>
    </row>
    <row r="133" spans="1:8" ht="15" customHeight="1" x14ac:dyDescent="0.2">
      <c r="A133" s="10" t="s">
        <v>94</v>
      </c>
      <c r="B133" s="10" t="str">
        <f>IFERROR(
    INDEX([1]FSHIP!B:B,MATCH(A133,[1]FSHIP!A:A,0)),
    IFERROR(
        INDEX([1]釣具商品ship!B:B,MATCH(A133,[1]釣具商品ship!A:A,0)),
        IFERROR(
            INDEX([1]玩具商品ship!B:B,MATCH(A133,[1]玩具商品ship!A:A,0)),
            IFERROR(
                INDEX([1]OEMship!B:B,MATCH(A133,[1]OEMship!A:A,0)),
                IFERROR(
                    INDEX([1]NV6ship!B:B,MATCH(A133,[1]NV6ship!A:A,0)),
                    IFERROR(
                        INDEX([1]NVship!B:B,MATCH(A133,[1]NVship!A:A,0)),
                        IFERROR(
                            INDEX([1]海ship!B:B,MATCH(A133,[1]海ship!A:A,0)),
                            IFERROR(
                                INDEX([1]ｾﾚship!B:B,MATCH(A133,[1]ｾﾚship!A:A,0)),
                                IFERROR(
                                    INDEX([1]ｾﾚﾓﾆｰ商品ship!B:B,MATCH(A133,[1]ｾﾚﾓﾆｰ商品ship!A:A,0)),
                                    INDEX([2]NV!D:D,MATCH(A133,[2]NV!C:C,0))
                                )
                            )
                        )
                    )
                )
            )
        )
    )
)</f>
        <v>光略ｶｽﾀﾑｼﾝｶｰ25号ｸﾞﾘｷﾝﾊﾞﾅﾅ</v>
      </c>
      <c r="C133" s="4" t="s">
        <v>5</v>
      </c>
      <c r="D133" s="10" t="str">
        <f t="shared" si="6"/>
        <v>光略ｶｽﾀﾑｼﾝｶｰ25号ｸﾞﾘｷﾝﾊﾞﾅﾅ ｜ 1F釣具部屋【04】 ｜ D</v>
      </c>
      <c r="E133" s="11" t="str">
        <f t="shared" si="7"/>
        <v>1F釣具部屋</v>
      </c>
      <c r="F133" s="12" t="s">
        <v>21</v>
      </c>
      <c r="G133" s="11" t="str">
        <f t="shared" si="8"/>
        <v>04・1F釣具部屋D</v>
      </c>
      <c r="H133" s="3"/>
    </row>
    <row r="134" spans="1:8" ht="15" customHeight="1" x14ac:dyDescent="0.2">
      <c r="A134" s="10" t="s">
        <v>95</v>
      </c>
      <c r="B134" s="10" t="str">
        <f>IFERROR(
    INDEX([1]FSHIP!B:B,MATCH(A134,[1]FSHIP!A:A,0)),
    IFERROR(
        INDEX([1]釣具商品ship!B:B,MATCH(A134,[1]釣具商品ship!A:A,0)),
        IFERROR(
            INDEX([1]玩具商品ship!B:B,MATCH(A134,[1]玩具商品ship!A:A,0)),
            IFERROR(
                INDEX([1]OEMship!B:B,MATCH(A134,[1]OEMship!A:A,0)),
                IFERROR(
                    INDEX([1]NV6ship!B:B,MATCH(A134,[1]NV6ship!A:A,0)),
                    IFERROR(
                        INDEX([1]NVship!B:B,MATCH(A134,[1]NVship!A:A,0)),
                        IFERROR(
                            INDEX([1]海ship!B:B,MATCH(A134,[1]海ship!A:A,0)),
                            IFERROR(
                                INDEX([1]ｾﾚship!B:B,MATCH(A134,[1]ｾﾚship!A:A,0)),
                                IFERROR(
                                    INDEX([1]ｾﾚﾓﾆｰ商品ship!B:B,MATCH(A134,[1]ｾﾚﾓﾆｰ商品ship!A:A,0)),
                                    INDEX([2]NV!D:D,MATCH(A134,[2]NV!C:C,0))
                                )
                            )
                        )
                    )
                )
            )
        )
    )
)</f>
        <v>光略ｶｽﾀﾑｼﾝｶｰ30号ｷｬﾝﾃﾞｨﾗﾒ</v>
      </c>
      <c r="C134" s="4" t="s">
        <v>5</v>
      </c>
      <c r="D134" s="10" t="str">
        <f t="shared" si="6"/>
        <v>光略ｶｽﾀﾑｼﾝｶｰ30号ｷｬﾝﾃﾞｨﾗﾒ ｜ 1F釣具部屋【04】 ｜ D</v>
      </c>
      <c r="E134" s="11" t="str">
        <f t="shared" si="7"/>
        <v>1F釣具部屋</v>
      </c>
      <c r="F134" s="12" t="s">
        <v>21</v>
      </c>
      <c r="G134" s="11" t="str">
        <f t="shared" si="8"/>
        <v>04・1F釣具部屋D</v>
      </c>
      <c r="H134" s="3"/>
    </row>
    <row r="135" spans="1:8" ht="15" customHeight="1" x14ac:dyDescent="0.2">
      <c r="A135" s="10" t="s">
        <v>96</v>
      </c>
      <c r="B135" s="10" t="str">
        <f>IFERROR(
    INDEX([1]FSHIP!B:B,MATCH(A135,[1]FSHIP!A:A,0)),
    IFERROR(
        INDEX([1]釣具商品ship!B:B,MATCH(A135,[1]釣具商品ship!A:A,0)),
        IFERROR(
            INDEX([1]玩具商品ship!B:B,MATCH(A135,[1]玩具商品ship!A:A,0)),
            IFERROR(
                INDEX([1]OEMship!B:B,MATCH(A135,[1]OEMship!A:A,0)),
                IFERROR(
                    INDEX([1]NV6ship!B:B,MATCH(A135,[1]NV6ship!A:A,0)),
                    IFERROR(
                        INDEX([1]NVship!B:B,MATCH(A135,[1]NVship!A:A,0)),
                        IFERROR(
                            INDEX([1]海ship!B:B,MATCH(A135,[1]海ship!A:A,0)),
                            IFERROR(
                                INDEX([1]ｾﾚship!B:B,MATCH(A135,[1]ｾﾚship!A:A,0)),
                                IFERROR(
                                    INDEX([1]ｾﾚﾓﾆｰ商品ship!B:B,MATCH(A135,[1]ｾﾚﾓﾆｰ商品ship!A:A,0)),
                                    INDEX([2]NV!D:D,MATCH(A135,[2]NV!C:C,0))
                                )
                            )
                        )
                    )
                )
            )
        )
    )
)</f>
        <v>光略ｶｽﾀﾑｼﾝｶｰ30号ｱｶｷﾝﾏﾝｺﾞｰ</v>
      </c>
      <c r="C135" s="4" t="s">
        <v>5</v>
      </c>
      <c r="D135" s="10" t="str">
        <f t="shared" si="6"/>
        <v>光略ｶｽﾀﾑｼﾝｶｰ30号ｱｶｷﾝﾏﾝｺﾞｰ ｜ 1F釣具部屋【04】 ｜ D</v>
      </c>
      <c r="E135" s="11" t="str">
        <f t="shared" si="7"/>
        <v>1F釣具部屋</v>
      </c>
      <c r="F135" s="12" t="s">
        <v>21</v>
      </c>
      <c r="G135" s="11" t="str">
        <f t="shared" si="8"/>
        <v>04・1F釣具部屋D</v>
      </c>
      <c r="H135" s="3"/>
    </row>
    <row r="136" spans="1:8" ht="15" customHeight="1" x14ac:dyDescent="0.2">
      <c r="A136" s="10" t="s">
        <v>97</v>
      </c>
      <c r="B136" s="10" t="str">
        <f>IFERROR(
    INDEX([1]FSHIP!B:B,MATCH(A136,[1]FSHIP!A:A,0)),
    IFERROR(
        INDEX([1]釣具商品ship!B:B,MATCH(A136,[1]釣具商品ship!A:A,0)),
        IFERROR(
            INDEX([1]玩具商品ship!B:B,MATCH(A136,[1]玩具商品ship!A:A,0)),
            IFERROR(
                INDEX([1]OEMship!B:B,MATCH(A136,[1]OEMship!A:A,0)),
                IFERROR(
                    INDEX([1]NV6ship!B:B,MATCH(A136,[1]NV6ship!A:A,0)),
                    IFERROR(
                        INDEX([1]NVship!B:B,MATCH(A136,[1]NVship!A:A,0)),
                        IFERROR(
                            INDEX([1]海ship!B:B,MATCH(A136,[1]海ship!A:A,0)),
                            IFERROR(
                                INDEX([1]ｾﾚship!B:B,MATCH(A136,[1]ｾﾚship!A:A,0)),
                                IFERROR(
                                    INDEX([1]ｾﾚﾓﾆｰ商品ship!B:B,MATCH(A136,[1]ｾﾚﾓﾆｰ商品ship!A:A,0)),
                                    INDEX([2]NV!D:D,MATCH(A136,[2]NV!C:C,0))
                                )
                            )
                        )
                    )
                )
            )
        )
    )
)</f>
        <v>光略ｶｽﾀﾑｼﾝｶｰ30号ｸﾞﾘｷﾝﾊﾞﾅﾅ</v>
      </c>
      <c r="C136" s="4" t="s">
        <v>5</v>
      </c>
      <c r="D136" s="10" t="str">
        <f t="shared" si="6"/>
        <v>光略ｶｽﾀﾑｼﾝｶｰ30号ｸﾞﾘｷﾝﾊﾞﾅﾅ ｜ 1F釣具部屋【04】 ｜ D</v>
      </c>
      <c r="E136" s="11" t="str">
        <f t="shared" si="7"/>
        <v>1F釣具部屋</v>
      </c>
      <c r="F136" s="12" t="s">
        <v>21</v>
      </c>
      <c r="G136" s="11" t="str">
        <f t="shared" si="8"/>
        <v>04・1F釣具部屋D</v>
      </c>
      <c r="H136" s="3"/>
    </row>
    <row r="137" spans="1:8" ht="15" customHeight="1" x14ac:dyDescent="0.2">
      <c r="A137" s="10" t="s">
        <v>98</v>
      </c>
      <c r="B137" s="10" t="str">
        <f>IFERROR(
    INDEX([1]FSHIP!B:B,MATCH(A137,[1]FSHIP!A:A,0)),
    IFERROR(
        INDEX([1]釣具商品ship!B:B,MATCH(A137,[1]釣具商品ship!A:A,0)),
        IFERROR(
            INDEX([1]玩具商品ship!B:B,MATCH(A137,[1]玩具商品ship!A:A,0)),
            IFERROR(
                INDEX([1]OEMship!B:B,MATCH(A137,[1]OEMship!A:A,0)),
                IFERROR(
                    INDEX([1]NV6ship!B:B,MATCH(A137,[1]NV6ship!A:A,0)),
                    IFERROR(
                        INDEX([1]NVship!B:B,MATCH(A137,[1]NVship!A:A,0)),
                        IFERROR(
                            INDEX([1]海ship!B:B,MATCH(A137,[1]海ship!A:A,0)),
                            IFERROR(
                                INDEX([1]ｾﾚship!B:B,MATCH(A137,[1]ｾﾚship!A:A,0)),
                                IFERROR(
                                    INDEX([1]ｾﾚﾓﾆｰ商品ship!B:B,MATCH(A137,[1]ｾﾚﾓﾆｰ商品ship!A:A,0)),
                                    INDEX([2]NV!D:D,MATCH(A137,[2]NV!C:C,0))
                                )
                            )
                        )
                    )
                )
            )
        )
    )
)</f>
        <v>光略ｶｽﾀﾑｼﾝｶｰ50号ｷｬﾝﾃﾞｨﾗﾒ</v>
      </c>
      <c r="C137" s="4" t="s">
        <v>5</v>
      </c>
      <c r="D137" s="10" t="str">
        <f t="shared" si="6"/>
        <v>光略ｶｽﾀﾑｼﾝｶｰ50号ｷｬﾝﾃﾞｨﾗﾒ ｜ 1F釣具部屋【04】 ｜ D</v>
      </c>
      <c r="E137" s="11" t="str">
        <f t="shared" si="7"/>
        <v>1F釣具部屋</v>
      </c>
      <c r="F137" s="12" t="s">
        <v>21</v>
      </c>
      <c r="G137" s="11" t="str">
        <f t="shared" si="8"/>
        <v>04・1F釣具部屋D</v>
      </c>
      <c r="H137" s="3"/>
    </row>
    <row r="138" spans="1:8" ht="15" customHeight="1" x14ac:dyDescent="0.2">
      <c r="A138" s="10" t="s">
        <v>99</v>
      </c>
      <c r="B138" s="10" t="str">
        <f>IFERROR(
    INDEX([1]FSHIP!B:B,MATCH(A138,[1]FSHIP!A:A,0)),
    IFERROR(
        INDEX([1]釣具商品ship!B:B,MATCH(A138,[1]釣具商品ship!A:A,0)),
        IFERROR(
            INDEX([1]玩具商品ship!B:B,MATCH(A138,[1]玩具商品ship!A:A,0)),
            IFERROR(
                INDEX([1]OEMship!B:B,MATCH(A138,[1]OEMship!A:A,0)),
                IFERROR(
                    INDEX([1]NV6ship!B:B,MATCH(A138,[1]NV6ship!A:A,0)),
                    IFERROR(
                        INDEX([1]NVship!B:B,MATCH(A138,[1]NVship!A:A,0)),
                        IFERROR(
                            INDEX([1]海ship!B:B,MATCH(A138,[1]海ship!A:A,0)),
                            IFERROR(
                                INDEX([1]ｾﾚship!B:B,MATCH(A138,[1]ｾﾚship!A:A,0)),
                                IFERROR(
                                    INDEX([1]ｾﾚﾓﾆｰ商品ship!B:B,MATCH(A138,[1]ｾﾚﾓﾆｰ商品ship!A:A,0)),
                                    INDEX([2]NV!D:D,MATCH(A138,[2]NV!C:C,0))
                                )
                            )
                        )
                    )
                )
            )
        )
    )
)</f>
        <v>光略ｶｽﾀﾑｼﾝｶｰ50号ｱｶｷﾝﾏﾝｺﾞｰ</v>
      </c>
      <c r="C138" s="4" t="s">
        <v>5</v>
      </c>
      <c r="D138" s="10" t="str">
        <f t="shared" si="6"/>
        <v>光略ｶｽﾀﾑｼﾝｶｰ50号ｱｶｷﾝﾏﾝｺﾞｰ ｜ 1F釣具部屋【04】 ｜ D</v>
      </c>
      <c r="E138" s="11" t="str">
        <f t="shared" si="7"/>
        <v>1F釣具部屋</v>
      </c>
      <c r="F138" s="12" t="s">
        <v>21</v>
      </c>
      <c r="G138" s="11" t="str">
        <f t="shared" si="8"/>
        <v>04・1F釣具部屋D</v>
      </c>
      <c r="H138" s="3"/>
    </row>
    <row r="139" spans="1:8" ht="15" customHeight="1" x14ac:dyDescent="0.2">
      <c r="A139" s="10" t="s">
        <v>100</v>
      </c>
      <c r="B139" s="10" t="str">
        <f>IFERROR(
    INDEX([1]FSHIP!B:B,MATCH(A139,[1]FSHIP!A:A,0)),
    IFERROR(
        INDEX([1]釣具商品ship!B:B,MATCH(A139,[1]釣具商品ship!A:A,0)),
        IFERROR(
            INDEX([1]玩具商品ship!B:B,MATCH(A139,[1]玩具商品ship!A:A,0)),
            IFERROR(
                INDEX([1]OEMship!B:B,MATCH(A139,[1]OEMship!A:A,0)),
                IFERROR(
                    INDEX([1]NV6ship!B:B,MATCH(A139,[1]NV6ship!A:A,0)),
                    IFERROR(
                        INDEX([1]NVship!B:B,MATCH(A139,[1]NVship!A:A,0)),
                        IFERROR(
                            INDEX([1]海ship!B:B,MATCH(A139,[1]海ship!A:A,0)),
                            IFERROR(
                                INDEX([1]ｾﾚship!B:B,MATCH(A139,[1]ｾﾚship!A:A,0)),
                                IFERROR(
                                    INDEX([1]ｾﾚﾓﾆｰ商品ship!B:B,MATCH(A139,[1]ｾﾚﾓﾆｰ商品ship!A:A,0)),
                                    INDEX([2]NV!D:D,MATCH(A139,[2]NV!C:C,0))
                                )
                            )
                        )
                    )
                )
            )
        )
    )
)</f>
        <v>光略ｶｽﾀﾑｼﾝｶｰ50号ｸﾞﾘｷﾝﾊﾞﾅﾅ</v>
      </c>
      <c r="C139" s="4" t="s">
        <v>5</v>
      </c>
      <c r="D139" s="10" t="str">
        <f t="shared" si="6"/>
        <v>光略ｶｽﾀﾑｼﾝｶｰ50号ｸﾞﾘｷﾝﾊﾞﾅﾅ ｜ 1F釣具部屋【04】 ｜ D</v>
      </c>
      <c r="E139" s="11" t="str">
        <f t="shared" si="7"/>
        <v>1F釣具部屋</v>
      </c>
      <c r="F139" s="12" t="s">
        <v>21</v>
      </c>
      <c r="G139" s="11" t="str">
        <f t="shared" si="8"/>
        <v>04・1F釣具部屋D</v>
      </c>
      <c r="H139" s="3"/>
    </row>
    <row r="140" spans="1:8" ht="15" customHeight="1" x14ac:dyDescent="0.2">
      <c r="A140" s="10" t="s">
        <v>101</v>
      </c>
      <c r="B140" s="10" t="str">
        <f>IFERROR(
    INDEX([1]FSHIP!B:B,MATCH(A140,[1]FSHIP!A:A,0)),
    IFERROR(
        INDEX([1]釣具商品ship!B:B,MATCH(A140,[1]釣具商品ship!A:A,0)),
        IFERROR(
            INDEX([1]玩具商品ship!B:B,MATCH(A140,[1]玩具商品ship!A:A,0)),
            IFERROR(
                INDEX([1]OEMship!B:B,MATCH(A140,[1]OEMship!A:A,0)),
                IFERROR(
                    INDEX([1]NV6ship!B:B,MATCH(A140,[1]NV6ship!A:A,0)),
                    IFERROR(
                        INDEX([1]NVship!B:B,MATCH(A140,[1]NVship!A:A,0)),
                        IFERROR(
                            INDEX([1]海ship!B:B,MATCH(A140,[1]海ship!A:A,0)),
                            IFERROR(
                                INDEX([1]ｾﾚship!B:B,MATCH(A140,[1]ｾﾚship!A:A,0)),
                                IFERROR(
                                    INDEX([1]ｾﾚﾓﾆｰ商品ship!B:B,MATCH(A140,[1]ｾﾚﾓﾆｰ商品ship!A:A,0)),
                                    INDEX([2]NV!D:D,MATCH(A140,[2]NV!C:C,0))
                                )
                            )
                        )
                    )
                )
            )
        )
    )
)</f>
        <v>光略ｶｽﾀﾑｼﾝｶｰ60号ｷｬﾝﾃﾞｨﾗﾒ</v>
      </c>
      <c r="C140" s="4" t="s">
        <v>5</v>
      </c>
      <c r="D140" s="10" t="str">
        <f t="shared" si="6"/>
        <v>光略ｶｽﾀﾑｼﾝｶｰ60号ｷｬﾝﾃﾞｨﾗﾒ ｜ 1F釣具部屋【04】 ｜ D</v>
      </c>
      <c r="E140" s="11" t="str">
        <f t="shared" si="7"/>
        <v>1F釣具部屋</v>
      </c>
      <c r="F140" s="12" t="s">
        <v>21</v>
      </c>
      <c r="G140" s="11" t="str">
        <f t="shared" si="8"/>
        <v>04・1F釣具部屋D</v>
      </c>
      <c r="H140" s="3"/>
    </row>
    <row r="141" spans="1:8" ht="15" customHeight="1" x14ac:dyDescent="0.2">
      <c r="A141" s="10" t="s">
        <v>102</v>
      </c>
      <c r="B141" s="10" t="str">
        <f>IFERROR(
    INDEX([1]FSHIP!B:B,MATCH(A141,[1]FSHIP!A:A,0)),
    IFERROR(
        INDEX([1]釣具商品ship!B:B,MATCH(A141,[1]釣具商品ship!A:A,0)),
        IFERROR(
            INDEX([1]玩具商品ship!B:B,MATCH(A141,[1]玩具商品ship!A:A,0)),
            IFERROR(
                INDEX([1]OEMship!B:B,MATCH(A141,[1]OEMship!A:A,0)),
                IFERROR(
                    INDEX([1]NV6ship!B:B,MATCH(A141,[1]NV6ship!A:A,0)),
                    IFERROR(
                        INDEX([1]NVship!B:B,MATCH(A141,[1]NVship!A:A,0)),
                        IFERROR(
                            INDEX([1]海ship!B:B,MATCH(A141,[1]海ship!A:A,0)),
                            IFERROR(
                                INDEX([1]ｾﾚship!B:B,MATCH(A141,[1]ｾﾚship!A:A,0)),
                                IFERROR(
                                    INDEX([1]ｾﾚﾓﾆｰ商品ship!B:B,MATCH(A141,[1]ｾﾚﾓﾆｰ商品ship!A:A,0)),
                                    INDEX([2]NV!D:D,MATCH(A141,[2]NV!C:C,0))
                                )
                            )
                        )
                    )
                )
            )
        )
    )
)</f>
        <v>光略ｶｽﾀﾑｼﾝｶｰ60号ｱｶｷﾝﾏﾝｺﾞｰ</v>
      </c>
      <c r="C141" s="4" t="s">
        <v>5</v>
      </c>
      <c r="D141" s="10" t="str">
        <f t="shared" si="6"/>
        <v>光略ｶｽﾀﾑｼﾝｶｰ60号ｱｶｷﾝﾏﾝｺﾞｰ ｜ 1F釣具部屋【04】 ｜ D</v>
      </c>
      <c r="E141" s="11" t="str">
        <f t="shared" si="7"/>
        <v>1F釣具部屋</v>
      </c>
      <c r="F141" s="12" t="s">
        <v>21</v>
      </c>
      <c r="G141" s="11" t="str">
        <f t="shared" si="8"/>
        <v>04・1F釣具部屋D</v>
      </c>
      <c r="H141" s="3"/>
    </row>
    <row r="142" spans="1:8" ht="15" customHeight="1" x14ac:dyDescent="0.2">
      <c r="A142" s="10" t="s">
        <v>103</v>
      </c>
      <c r="B142" s="10" t="str">
        <f>IFERROR(
    INDEX([1]FSHIP!B:B,MATCH(A142,[1]FSHIP!A:A,0)),
    IFERROR(
        INDEX([1]釣具商品ship!B:B,MATCH(A142,[1]釣具商品ship!A:A,0)),
        IFERROR(
            INDEX([1]玩具商品ship!B:B,MATCH(A142,[1]玩具商品ship!A:A,0)),
            IFERROR(
                INDEX([1]OEMship!B:B,MATCH(A142,[1]OEMship!A:A,0)),
                IFERROR(
                    INDEX([1]NV6ship!B:B,MATCH(A142,[1]NV6ship!A:A,0)),
                    IFERROR(
                        INDEX([1]NVship!B:B,MATCH(A142,[1]NVship!A:A,0)),
                        IFERROR(
                            INDEX([1]海ship!B:B,MATCH(A142,[1]海ship!A:A,0)),
                            IFERROR(
                                INDEX([1]ｾﾚship!B:B,MATCH(A142,[1]ｾﾚship!A:A,0)),
                                IFERROR(
                                    INDEX([1]ｾﾚﾓﾆｰ商品ship!B:B,MATCH(A142,[1]ｾﾚﾓﾆｰ商品ship!A:A,0)),
                                    INDEX([2]NV!D:D,MATCH(A142,[2]NV!C:C,0))
                                )
                            )
                        )
                    )
                )
            )
        )
    )
)</f>
        <v>光略ｶｽﾀﾑｼﾝｶｰ60号ｸﾞﾘｷﾝﾊﾞﾅﾅ</v>
      </c>
      <c r="C142" s="4" t="s">
        <v>5</v>
      </c>
      <c r="D142" s="10" t="str">
        <f t="shared" si="6"/>
        <v>光略ｶｽﾀﾑｼﾝｶｰ60号ｸﾞﾘｷﾝﾊﾞﾅﾅ ｜ 1F釣具部屋【04】 ｜ D</v>
      </c>
      <c r="E142" s="11" t="str">
        <f t="shared" si="7"/>
        <v>1F釣具部屋</v>
      </c>
      <c r="F142" s="12" t="s">
        <v>21</v>
      </c>
      <c r="G142" s="11" t="str">
        <f t="shared" si="8"/>
        <v>04・1F釣具部屋D</v>
      </c>
      <c r="H142" s="3"/>
    </row>
    <row r="143" spans="1:8" ht="15" customHeight="1" x14ac:dyDescent="0.2">
      <c r="A143" s="10" t="s">
        <v>104</v>
      </c>
      <c r="B143" s="10" t="str">
        <f>IFERROR(
    INDEX([1]FSHIP!B:B,MATCH(A143,[1]FSHIP!A:A,0)),
    IFERROR(
        INDEX([1]釣具商品ship!B:B,MATCH(A143,[1]釣具商品ship!A:A,0)),
        IFERROR(
            INDEX([1]玩具商品ship!B:B,MATCH(A143,[1]玩具商品ship!A:A,0)),
            IFERROR(
                INDEX([1]OEMship!B:B,MATCH(A143,[1]OEMship!A:A,0)),
                IFERROR(
                    INDEX([1]NV6ship!B:B,MATCH(A143,[1]NV6ship!A:A,0)),
                    IFERROR(
                        INDEX([1]NVship!B:B,MATCH(A143,[1]NVship!A:A,0)),
                        IFERROR(
                            INDEX([1]海ship!B:B,MATCH(A143,[1]海ship!A:A,0)),
                            IFERROR(
                                INDEX([1]ｾﾚship!B:B,MATCH(A143,[1]ｾﾚship!A:A,0)),
                                IFERROR(
                                    INDEX([1]ｾﾚﾓﾆｰ商品ship!B:B,MATCH(A143,[1]ｾﾚﾓﾆｰ商品ship!A:A,0)),
                                    INDEX([2]NV!D:D,MATCH(A143,[2]NV!C:C,0))
                                )
                            )
                        )
                    )
                )
            )
        )
    )
)</f>
        <v>光略ｶｽﾀﾑｼﾝｶｰ80号ｷｬﾝﾃﾞｨﾗﾒ</v>
      </c>
      <c r="C143" s="4" t="s">
        <v>5</v>
      </c>
      <c r="D143" s="10" t="str">
        <f t="shared" si="6"/>
        <v>光略ｶｽﾀﾑｼﾝｶｰ80号ｷｬﾝﾃﾞｨﾗﾒ ｜ 1F釣具部屋【04】 ｜ D</v>
      </c>
      <c r="E143" s="11" t="str">
        <f t="shared" si="7"/>
        <v>1F釣具部屋</v>
      </c>
      <c r="F143" s="12" t="s">
        <v>21</v>
      </c>
      <c r="G143" s="11" t="str">
        <f t="shared" si="8"/>
        <v>04・1F釣具部屋D</v>
      </c>
      <c r="H143" s="3"/>
    </row>
    <row r="144" spans="1:8" ht="15" customHeight="1" x14ac:dyDescent="0.2">
      <c r="A144" s="10" t="s">
        <v>105</v>
      </c>
      <c r="B144" s="10" t="str">
        <f>IFERROR(
    INDEX([1]FSHIP!B:B,MATCH(A144,[1]FSHIP!A:A,0)),
    IFERROR(
        INDEX([1]釣具商品ship!B:B,MATCH(A144,[1]釣具商品ship!A:A,0)),
        IFERROR(
            INDEX([1]玩具商品ship!B:B,MATCH(A144,[1]玩具商品ship!A:A,0)),
            IFERROR(
                INDEX([1]OEMship!B:B,MATCH(A144,[1]OEMship!A:A,0)),
                IFERROR(
                    INDEX([1]NV6ship!B:B,MATCH(A144,[1]NV6ship!A:A,0)),
                    IFERROR(
                        INDEX([1]NVship!B:B,MATCH(A144,[1]NVship!A:A,0)),
                        IFERROR(
                            INDEX([1]海ship!B:B,MATCH(A144,[1]海ship!A:A,0)),
                            IFERROR(
                                INDEX([1]ｾﾚship!B:B,MATCH(A144,[1]ｾﾚship!A:A,0)),
                                IFERROR(
                                    INDEX([1]ｾﾚﾓﾆｰ商品ship!B:B,MATCH(A144,[1]ｾﾚﾓﾆｰ商品ship!A:A,0)),
                                    INDEX([2]NV!D:D,MATCH(A144,[2]NV!C:C,0))
                                )
                            )
                        )
                    )
                )
            )
        )
    )
)</f>
        <v>光略ｶｽﾀﾑｼﾝｶｰ80号ｱｶｷﾝﾏﾝｺﾞｰ</v>
      </c>
      <c r="C144" s="4" t="s">
        <v>5</v>
      </c>
      <c r="D144" s="10" t="str">
        <f t="shared" si="6"/>
        <v>光略ｶｽﾀﾑｼﾝｶｰ80号ｱｶｷﾝﾏﾝｺﾞｰ ｜ 1F釣具部屋【04】 ｜ D</v>
      </c>
      <c r="E144" s="11" t="str">
        <f t="shared" si="7"/>
        <v>1F釣具部屋</v>
      </c>
      <c r="F144" s="12" t="s">
        <v>21</v>
      </c>
      <c r="G144" s="11" t="str">
        <f t="shared" si="8"/>
        <v>04・1F釣具部屋D</v>
      </c>
      <c r="H144" s="3"/>
    </row>
    <row r="145" spans="1:8" ht="15" customHeight="1" x14ac:dyDescent="0.2">
      <c r="A145" s="10" t="s">
        <v>106</v>
      </c>
      <c r="B145" s="10" t="str">
        <f>IFERROR(
    INDEX([1]FSHIP!B:B,MATCH(A145,[1]FSHIP!A:A,0)),
    IFERROR(
        INDEX([1]釣具商品ship!B:B,MATCH(A145,[1]釣具商品ship!A:A,0)),
        IFERROR(
            INDEX([1]玩具商品ship!B:B,MATCH(A145,[1]玩具商品ship!A:A,0)),
            IFERROR(
                INDEX([1]OEMship!B:B,MATCH(A145,[1]OEMship!A:A,0)),
                IFERROR(
                    INDEX([1]NV6ship!B:B,MATCH(A145,[1]NV6ship!A:A,0)),
                    IFERROR(
                        INDEX([1]NVship!B:B,MATCH(A145,[1]NVship!A:A,0)),
                        IFERROR(
                            INDEX([1]海ship!B:B,MATCH(A145,[1]海ship!A:A,0)),
                            IFERROR(
                                INDEX([1]ｾﾚship!B:B,MATCH(A145,[1]ｾﾚship!A:A,0)),
                                IFERROR(
                                    INDEX([1]ｾﾚﾓﾆｰ商品ship!B:B,MATCH(A145,[1]ｾﾚﾓﾆｰ商品ship!A:A,0)),
                                    INDEX([2]NV!D:D,MATCH(A145,[2]NV!C:C,0))
                                )
                            )
                        )
                    )
                )
            )
        )
    )
)</f>
        <v>光略ｶｽﾀﾑｼﾝｶｰ80号ｸﾞﾘｷﾝﾊﾞﾅﾅ</v>
      </c>
      <c r="C145" s="4" t="s">
        <v>5</v>
      </c>
      <c r="D145" s="10" t="str">
        <f t="shared" si="6"/>
        <v>光略ｶｽﾀﾑｼﾝｶｰ80号ｸﾞﾘｷﾝﾊﾞﾅﾅ ｜ 1F釣具部屋【04】 ｜ D</v>
      </c>
      <c r="E145" s="11" t="str">
        <f t="shared" si="7"/>
        <v>1F釣具部屋</v>
      </c>
      <c r="F145" s="12" t="s">
        <v>21</v>
      </c>
      <c r="G145" s="11" t="str">
        <f t="shared" si="8"/>
        <v>04・1F釣具部屋D</v>
      </c>
      <c r="H145" s="3"/>
    </row>
    <row r="146" spans="1:8" ht="15" customHeight="1" x14ac:dyDescent="0.2">
      <c r="A146" s="10" t="s">
        <v>107</v>
      </c>
      <c r="B146" s="10" t="str">
        <f>IFERROR(
    INDEX([1]FSHIP!B:B,MATCH(A146,[1]FSHIP!A:A,0)),
    IFERROR(
        INDEX([1]釣具商品ship!B:B,MATCH(A146,[1]釣具商品ship!A:A,0)),
        IFERROR(
            INDEX([1]玩具商品ship!B:B,MATCH(A146,[1]玩具商品ship!A:A,0)),
            IFERROR(
                INDEX([1]OEMship!B:B,MATCH(A146,[1]OEMship!A:A,0)),
                IFERROR(
                    INDEX([1]NV6ship!B:B,MATCH(A146,[1]NV6ship!A:A,0)),
                    IFERROR(
                        INDEX([1]NVship!B:B,MATCH(A146,[1]NVship!A:A,0)),
                        IFERROR(
                            INDEX([1]海ship!B:B,MATCH(A146,[1]海ship!A:A,0)),
                            IFERROR(
                                INDEX([1]ｾﾚship!B:B,MATCH(A146,[1]ｾﾚship!A:A,0)),
                                IFERROR(
                                    INDEX([1]ｾﾚﾓﾆｰ商品ship!B:B,MATCH(A146,[1]ｾﾚﾓﾆｰ商品ship!A:A,0)),
                                    INDEX([2]NV!D:D,MATCH(A146,[2]NV!C:C,0))
                                )
                            )
                        )
                    )
                )
            )
        )
    )
)</f>
        <v>光略ｶｽﾀﾑｼﾝｶｰ80号 ﾋﾟｰﾁｸﾞﾛｰ</v>
      </c>
      <c r="C146" s="4" t="s">
        <v>5</v>
      </c>
      <c r="D146" s="10" t="str">
        <f t="shared" si="6"/>
        <v>光略ｶｽﾀﾑｼﾝｶｰ80号 ﾋﾟｰﾁｸﾞﾛｰ ｜ 1F釣具部屋【04】 ｜ D</v>
      </c>
      <c r="E146" s="11" t="str">
        <f t="shared" si="7"/>
        <v>1F釣具部屋</v>
      </c>
      <c r="F146" s="12" t="s">
        <v>21</v>
      </c>
      <c r="G146" s="11" t="str">
        <f t="shared" si="8"/>
        <v>04・1F釣具部屋D</v>
      </c>
      <c r="H146" s="3"/>
    </row>
    <row r="147" spans="1:8" ht="15" customHeight="1" x14ac:dyDescent="0.2">
      <c r="A147" s="10" t="s">
        <v>138</v>
      </c>
      <c r="B147" s="10" t="str">
        <f>IFERROR(
    INDEX([1]FSHIP!B:B,MATCH(A147,[1]FSHIP!A:A,0)),
    IFERROR(
        INDEX([1]釣具商品ship!B:B,MATCH(A147,[1]釣具商品ship!A:A,0)),
        IFERROR(
            INDEX([1]玩具商品ship!B:B,MATCH(A147,[1]玩具商品ship!A:A,0)),
            IFERROR(
                INDEX([1]OEMship!B:B,MATCH(A147,[1]OEMship!A:A,0)),
                IFERROR(
                    INDEX([1]NV6ship!B:B,MATCH(A147,[1]NV6ship!A:A,0)),
                    IFERROR(
                        INDEX([1]NVship!B:B,MATCH(A147,[1]NVship!A:A,0)),
                        IFERROR(
                            INDEX([1]海ship!B:B,MATCH(A147,[1]海ship!A:A,0)),
                            IFERROR(
                                INDEX([1]ｾﾚship!B:B,MATCH(A147,[1]ｾﾚship!A:A,0)),
                                IFERROR(
                                    INDEX([1]ｾﾚﾓﾆｰ商品ship!B:B,MATCH(A147,[1]ｾﾚﾓﾆｰ商品ship!A:A,0)),
                                    INDEX([2]NV!D:D,MATCH(A147,[2]NV!C:C,0))
                                )
                            )
                        )
                    )
                )
            )
        )
    )
)</f>
        <v>神経絞めミディアム 0.8mm×600mm</v>
      </c>
      <c r="C147" s="4" t="s">
        <v>3</v>
      </c>
      <c r="D147" s="10" t="str">
        <f t="shared" si="6"/>
        <v>神経絞めミディアム 0.8mm×600mm ｜ 1F釣具部屋【04】 ｜ E</v>
      </c>
      <c r="E147" s="11" t="str">
        <f t="shared" si="7"/>
        <v>1F釣具部屋</v>
      </c>
      <c r="F147" s="12" t="s">
        <v>21</v>
      </c>
      <c r="G147" s="11" t="str">
        <f t="shared" si="8"/>
        <v>04・1F釣具部屋E</v>
      </c>
      <c r="H147" s="3"/>
    </row>
    <row r="148" spans="1:8" ht="15" customHeight="1" x14ac:dyDescent="0.2">
      <c r="A148" s="10" t="s">
        <v>139</v>
      </c>
      <c r="B148" s="10" t="str">
        <f>IFERROR(
    INDEX([1]FSHIP!B:B,MATCH(A148,[1]FSHIP!A:A,0)),
    IFERROR(
        INDEX([1]釣具商品ship!B:B,MATCH(A148,[1]釣具商品ship!A:A,0)),
        IFERROR(
            INDEX([1]玩具商品ship!B:B,MATCH(A148,[1]玩具商品ship!A:A,0)),
            IFERROR(
                INDEX([1]OEMship!B:B,MATCH(A148,[1]OEMship!A:A,0)),
                IFERROR(
                    INDEX([1]NV6ship!B:B,MATCH(A148,[1]NV6ship!A:A,0)),
                    IFERROR(
                        INDEX([1]NVship!B:B,MATCH(A148,[1]NVship!A:A,0)),
                        IFERROR(
                            INDEX([1]海ship!B:B,MATCH(A148,[1]海ship!A:A,0)),
                            IFERROR(
                                INDEX([1]ｾﾚship!B:B,MATCH(A148,[1]ｾﾚship!A:A,0)),
                                IFERROR(
                                    INDEX([1]ｾﾚﾓﾆｰ商品ship!B:B,MATCH(A148,[1]ｾﾚﾓﾆｰ商品ship!A:A,0)),
                                    INDEX([2]NV!D:D,MATCH(A148,[2]NV!C:C,0))
                                )
                            )
                        )
                    )
                )
            )
        )
    )
)</f>
        <v>神経絞めミディアム 1.2mm×600mm</v>
      </c>
      <c r="C148" s="4" t="s">
        <v>3</v>
      </c>
      <c r="D148" s="10" t="str">
        <f t="shared" si="6"/>
        <v>神経絞めミディアム 1.2mm×600mm ｜ 1F釣具部屋【04】 ｜ E</v>
      </c>
      <c r="E148" s="11" t="str">
        <f t="shared" si="7"/>
        <v>1F釣具部屋</v>
      </c>
      <c r="F148" s="12" t="s">
        <v>21</v>
      </c>
      <c r="G148" s="11" t="str">
        <f t="shared" si="8"/>
        <v>04・1F釣具部屋E</v>
      </c>
      <c r="H148" s="3"/>
    </row>
    <row r="149" spans="1:8" ht="15" customHeight="1" x14ac:dyDescent="0.2">
      <c r="A149" s="10" t="s">
        <v>140</v>
      </c>
      <c r="B149" s="10" t="str">
        <f>IFERROR(
    INDEX([1]FSHIP!B:B,MATCH(A149,[1]FSHIP!A:A,0)),
    IFERROR(
        INDEX([1]釣具商品ship!B:B,MATCH(A149,[1]釣具商品ship!A:A,0)),
        IFERROR(
            INDEX([1]玩具商品ship!B:B,MATCH(A149,[1]玩具商品ship!A:A,0)),
            IFERROR(
                INDEX([1]OEMship!B:B,MATCH(A149,[1]OEMship!A:A,0)),
                IFERROR(
                    INDEX([1]NV6ship!B:B,MATCH(A149,[1]NV6ship!A:A,0)),
                    IFERROR(
                        INDEX([1]NVship!B:B,MATCH(A149,[1]NVship!A:A,0)),
                        IFERROR(
                            INDEX([1]海ship!B:B,MATCH(A149,[1]海ship!A:A,0)),
                            IFERROR(
                                INDEX([1]ｾﾚship!B:B,MATCH(A149,[1]ｾﾚship!A:A,0)),
                                IFERROR(
                                    INDEX([1]ｾﾚﾓﾆｰ商品ship!B:B,MATCH(A149,[1]ｾﾚﾓﾆｰ商品ship!A:A,0)),
                                    INDEX([2]NV!D:D,MATCH(A149,[2]NV!C:C,0))
                                )
                            )
                        )
                    )
                )
            )
        )
    )
)</f>
        <v>神経絞めロング 1.0mm×800mm</v>
      </c>
      <c r="C149" s="4" t="s">
        <v>3</v>
      </c>
      <c r="D149" s="10" t="str">
        <f t="shared" si="6"/>
        <v>神経絞めロング 1.0mm×800mm ｜ 1F釣具部屋【04】 ｜ E</v>
      </c>
      <c r="E149" s="11" t="str">
        <f t="shared" si="7"/>
        <v>1F釣具部屋</v>
      </c>
      <c r="F149" s="12" t="s">
        <v>21</v>
      </c>
      <c r="G149" s="11" t="str">
        <f t="shared" si="8"/>
        <v>04・1F釣具部屋E</v>
      </c>
      <c r="H149" s="3"/>
    </row>
    <row r="150" spans="1:8" ht="15" customHeight="1" x14ac:dyDescent="0.2">
      <c r="A150" s="10" t="s">
        <v>141</v>
      </c>
      <c r="B150" s="10" t="str">
        <f>IFERROR(
    INDEX([1]FSHIP!B:B,MATCH(A150,[1]FSHIP!A:A,0)),
    IFERROR(
        INDEX([1]釣具商品ship!B:B,MATCH(A150,[1]釣具商品ship!A:A,0)),
        IFERROR(
            INDEX([1]玩具商品ship!B:B,MATCH(A150,[1]玩具商品ship!A:A,0)),
            IFERROR(
                INDEX([1]OEMship!B:B,MATCH(A150,[1]OEMship!A:A,0)),
                IFERROR(
                    INDEX([1]NV6ship!B:B,MATCH(A150,[1]NV6ship!A:A,0)),
                    IFERROR(
                        INDEX([1]NVship!B:B,MATCH(A150,[1]NVship!A:A,0)),
                        IFERROR(
                            INDEX([1]海ship!B:B,MATCH(A150,[1]海ship!A:A,0)),
                            IFERROR(
                                INDEX([1]ｾﾚship!B:B,MATCH(A150,[1]ｾﾚship!A:A,0)),
                                IFERROR(
                                    INDEX([1]ｾﾚﾓﾆｰ商品ship!B:B,MATCH(A150,[1]ｾﾚﾓﾆｰ商品ship!A:A,0)),
                                    INDEX([2]NV!D:D,MATCH(A150,[2]NV!C:C,0))
                                )
                            )
                        )
                    )
                )
            )
        )
    )
)</f>
        <v>神経絞めロング 1.2mm×800mm</v>
      </c>
      <c r="C150" s="4" t="s">
        <v>3</v>
      </c>
      <c r="D150" s="10" t="str">
        <f t="shared" si="6"/>
        <v>神経絞めロング 1.2mm×800mm ｜ 1F釣具部屋【04】 ｜ E</v>
      </c>
      <c r="E150" s="11" t="str">
        <f t="shared" si="7"/>
        <v>1F釣具部屋</v>
      </c>
      <c r="F150" s="12" t="s">
        <v>21</v>
      </c>
      <c r="G150" s="11" t="str">
        <f t="shared" si="8"/>
        <v>04・1F釣具部屋E</v>
      </c>
      <c r="H150" s="3"/>
    </row>
    <row r="151" spans="1:8" ht="15" customHeight="1" x14ac:dyDescent="0.2">
      <c r="A151" s="10" t="s">
        <v>142</v>
      </c>
      <c r="B151" s="10" t="str">
        <f>IFERROR(
    INDEX([1]FSHIP!B:B,MATCH(A151,[1]FSHIP!A:A,0)),
    IFERROR(
        INDEX([1]釣具商品ship!B:B,MATCH(A151,[1]釣具商品ship!A:A,0)),
        IFERROR(
            INDEX([1]玩具商品ship!B:B,MATCH(A151,[1]玩具商品ship!A:A,0)),
            IFERROR(
                INDEX([1]OEMship!B:B,MATCH(A151,[1]OEMship!A:A,0)),
                IFERROR(
                    INDEX([1]NV6ship!B:B,MATCH(A151,[1]NV6ship!A:A,0)),
                    IFERROR(
                        INDEX([1]NVship!B:B,MATCH(A151,[1]NVship!A:A,0)),
                        IFERROR(
                            INDEX([1]海ship!B:B,MATCH(A151,[1]海ship!A:A,0)),
                            IFERROR(
                                INDEX([1]ｾﾚship!B:B,MATCH(A151,[1]ｾﾚship!A:A,0)),
                                IFERROR(
                                    INDEX([1]ｾﾚﾓﾆｰ商品ship!B:B,MATCH(A151,[1]ｾﾚﾓﾆｰ商品ship!A:A,0)),
                                    INDEX([2]NV!D:D,MATCH(A151,[2]NV!C:C,0))
                                )
                            )
                        )
                    )
                )
            )
        )
    )
)</f>
        <v>神経絞め ニードルパイプ 160mm</v>
      </c>
      <c r="C151" s="4" t="s">
        <v>3</v>
      </c>
      <c r="D151" s="10" t="str">
        <f t="shared" si="6"/>
        <v>神経絞め ニードルパイプ 160mm ｜ 1F釣具部屋【04】 ｜ E</v>
      </c>
      <c r="E151" s="11" t="str">
        <f t="shared" si="7"/>
        <v>1F釣具部屋</v>
      </c>
      <c r="F151" s="12" t="s">
        <v>21</v>
      </c>
      <c r="G151" s="11" t="str">
        <f t="shared" si="8"/>
        <v>04・1F釣具部屋E</v>
      </c>
      <c r="H151" s="3"/>
    </row>
    <row r="152" spans="1:8" ht="15" customHeight="1" x14ac:dyDescent="0.2">
      <c r="A152" s="10" t="s">
        <v>260</v>
      </c>
      <c r="B152" s="10" t="str">
        <f>IFERROR(
    INDEX([1]FSHIP!B:B,MATCH(A152,[1]FSHIP!A:A,0)),
    IFERROR(
        INDEX([1]釣具商品ship!B:B,MATCH(A152,[1]釣具商品ship!A:A,0)),
        IFERROR(
            INDEX([1]玩具商品ship!B:B,MATCH(A152,[1]玩具商品ship!A:A,0)),
            IFERROR(
                INDEX([1]OEMship!B:B,MATCH(A152,[1]OEMship!A:A,0)),
                IFERROR(
                    INDEX([1]NV6ship!B:B,MATCH(A152,[1]NV6ship!A:A,0)),
                    IFERROR(
                        INDEX([1]NVship!B:B,MATCH(A152,[1]NVship!A:A,0)),
                        IFERROR(
                            INDEX([1]海ship!B:B,MATCH(A152,[1]海ship!A:A,0)),
                            IFERROR(
                                INDEX([1]ｾﾚship!B:B,MATCH(A152,[1]ｾﾚship!A:A,0)),
                                IFERROR(
                                    INDEX([1]ｾﾚﾓﾆｰ商品ship!B:B,MATCH(A152,[1]ｾﾚﾓﾆｰ商品ship!A:A,0)),
                                    INDEX([2]NV!D:D,MATCH(A152,[2]NV!C:C,0))
                                )
                            )
                        )
                    )
                )
            )
        )
    )
)</f>
        <v>爆烈釣光ｼﾝｶｰ 25号 ｲｴﾛｰ&amp;ｸﾞﾘｰﾝ</v>
      </c>
      <c r="C152" s="4" t="s">
        <v>4</v>
      </c>
      <c r="D152" s="10" t="str">
        <f t="shared" si="6"/>
        <v>爆烈釣光ｼﾝｶｰ 25号 ｲｴﾛｰ&amp;ｸﾞﾘｰﾝ ｜ 1F釣具部屋【04】 ｜ K</v>
      </c>
      <c r="E152" s="11" t="str">
        <f t="shared" si="7"/>
        <v>1F釣具部屋</v>
      </c>
      <c r="F152" s="12" t="s">
        <v>21</v>
      </c>
      <c r="G152" s="11" t="str">
        <f t="shared" si="8"/>
        <v>04・1F釣具部屋K</v>
      </c>
      <c r="H152" s="3"/>
    </row>
    <row r="153" spans="1:8" ht="15" customHeight="1" x14ac:dyDescent="0.2">
      <c r="A153" s="10" t="s">
        <v>261</v>
      </c>
      <c r="B153" s="10" t="str">
        <f>IFERROR(
    INDEX([1]FSHIP!B:B,MATCH(A153,[1]FSHIP!A:A,0)),
    IFERROR(
        INDEX([1]釣具商品ship!B:B,MATCH(A153,[1]釣具商品ship!A:A,0)),
        IFERROR(
            INDEX([1]玩具商品ship!B:B,MATCH(A153,[1]玩具商品ship!A:A,0)),
            IFERROR(
                INDEX([1]OEMship!B:B,MATCH(A153,[1]OEMship!A:A,0)),
                IFERROR(
                    INDEX([1]NV6ship!B:B,MATCH(A153,[1]NV6ship!A:A,0)),
                    IFERROR(
                        INDEX([1]NVship!B:B,MATCH(A153,[1]NVship!A:A,0)),
                        IFERROR(
                            INDEX([1]海ship!B:B,MATCH(A153,[1]海ship!A:A,0)),
                            IFERROR(
                                INDEX([1]ｾﾚship!B:B,MATCH(A153,[1]ｾﾚship!A:A,0)),
                                IFERROR(
                                    INDEX([1]ｾﾚﾓﾆｰ商品ship!B:B,MATCH(A153,[1]ｾﾚﾓﾆｰ商品ship!A:A,0)),
                                    INDEX([2]NV!D:D,MATCH(A153,[2]NV!C:C,0))
                                )
                            )
                        )
                    )
                )
            )
        )
    )
)</f>
        <v>爆烈釣光ｼﾝｶｰ 25号 ﾚｯﾄﾞ&amp;ﾚｯﾄﾞ</v>
      </c>
      <c r="C153" s="4" t="s">
        <v>4</v>
      </c>
      <c r="D153" s="10" t="str">
        <f t="shared" si="6"/>
        <v>爆烈釣光ｼﾝｶｰ 25号 ﾚｯﾄﾞ&amp;ﾚｯﾄﾞ ｜ 1F釣具部屋【04】 ｜ K</v>
      </c>
      <c r="E153" s="11" t="str">
        <f t="shared" si="7"/>
        <v>1F釣具部屋</v>
      </c>
      <c r="F153" s="12" t="s">
        <v>21</v>
      </c>
      <c r="G153" s="11" t="str">
        <f t="shared" si="8"/>
        <v>04・1F釣具部屋K</v>
      </c>
      <c r="H153" s="3"/>
    </row>
    <row r="154" spans="1:8" ht="15" customHeight="1" x14ac:dyDescent="0.2">
      <c r="A154" s="10" t="s">
        <v>263</v>
      </c>
      <c r="B154" s="10" t="str">
        <f>IFERROR(
    INDEX([1]FSHIP!B:B,MATCH(A154,[1]FSHIP!A:A,0)),
    IFERROR(
        INDEX([1]釣具商品ship!B:B,MATCH(A154,[1]釣具商品ship!A:A,0)),
        IFERROR(
            INDEX([1]玩具商品ship!B:B,MATCH(A154,[1]玩具商品ship!A:A,0)),
            IFERROR(
                INDEX([1]OEMship!B:B,MATCH(A154,[1]OEMship!A:A,0)),
                IFERROR(
                    INDEX([1]NV6ship!B:B,MATCH(A154,[1]NV6ship!A:A,0)),
                    IFERROR(
                        INDEX([1]NVship!B:B,MATCH(A154,[1]NVship!A:A,0)),
                        IFERROR(
                            INDEX([1]海ship!B:B,MATCH(A154,[1]海ship!A:A,0)),
                            IFERROR(
                                INDEX([1]ｾﾚship!B:B,MATCH(A154,[1]ｾﾚship!A:A,0)),
                                IFERROR(
                                    INDEX([1]ｾﾚﾓﾆｰ商品ship!B:B,MATCH(A154,[1]ｾﾚﾓﾆｰ商品ship!A:A,0)),
                                    INDEX([2]NV!D:D,MATCH(A154,[2]NV!C:C,0))
                                )
                            )
                        )
                    )
                )
            )
        )
    )
)</f>
        <v>爆烈釣光ｼﾝｶｰ 25号 ｸﾞﾛｰ&amp;ﾌﾞﾙｰ</v>
      </c>
      <c r="C154" s="4" t="s">
        <v>4</v>
      </c>
      <c r="D154" s="10" t="str">
        <f t="shared" si="6"/>
        <v>爆烈釣光ｼﾝｶｰ 25号 ｸﾞﾛｰ&amp;ﾌﾞﾙｰ ｜ 1F釣具部屋【04】 ｜ K</v>
      </c>
      <c r="E154" s="11" t="str">
        <f t="shared" si="7"/>
        <v>1F釣具部屋</v>
      </c>
      <c r="F154" s="12" t="s">
        <v>21</v>
      </c>
      <c r="G154" s="11" t="str">
        <f t="shared" si="8"/>
        <v>04・1F釣具部屋K</v>
      </c>
      <c r="H154" s="3"/>
    </row>
    <row r="155" spans="1:8" ht="15" customHeight="1" x14ac:dyDescent="0.2">
      <c r="A155" s="10" t="s">
        <v>262</v>
      </c>
      <c r="B155" s="10" t="str">
        <f>IFERROR(
    INDEX([1]FSHIP!B:B,MATCH(A155,[1]FSHIP!A:A,0)),
    IFERROR(
        INDEX([1]釣具商品ship!B:B,MATCH(A155,[1]釣具商品ship!A:A,0)),
        IFERROR(
            INDEX([1]玩具商品ship!B:B,MATCH(A155,[1]玩具商品ship!A:A,0)),
            IFERROR(
                INDEX([1]OEMship!B:B,MATCH(A155,[1]OEMship!A:A,0)),
                IFERROR(
                    INDEX([1]NV6ship!B:B,MATCH(A155,[1]NV6ship!A:A,0)),
                    IFERROR(
                        INDEX([1]NVship!B:B,MATCH(A155,[1]NVship!A:A,0)),
                        IFERROR(
                            INDEX([1]海ship!B:B,MATCH(A155,[1]海ship!A:A,0)),
                            IFERROR(
                                INDEX([1]ｾﾚship!B:B,MATCH(A155,[1]ｾﾚship!A:A,0)),
                                IFERROR(
                                    INDEX([1]ｾﾚﾓﾆｰ商品ship!B:B,MATCH(A155,[1]ｾﾚﾓﾆｰ商品ship!A:A,0)),
                                    INDEX([2]NV!D:D,MATCH(A155,[2]NV!C:C,0))
                                )
                            )
                        )
                    )
                )
            )
        )
    )
)</f>
        <v>爆烈釣光ｼﾝｶｰ 25号 ﾎﾜｲﾄ&amp;UV</v>
      </c>
      <c r="C155" s="4" t="s">
        <v>4</v>
      </c>
      <c r="D155" s="10" t="str">
        <f t="shared" si="6"/>
        <v>爆烈釣光ｼﾝｶｰ 25号 ﾎﾜｲﾄ&amp;UV ｜ 1F釣具部屋【04】 ｜ K</v>
      </c>
      <c r="E155" s="11" t="str">
        <f t="shared" si="7"/>
        <v>1F釣具部屋</v>
      </c>
      <c r="F155" s="12" t="s">
        <v>21</v>
      </c>
      <c r="G155" s="11" t="str">
        <f t="shared" si="8"/>
        <v>04・1F釣具部屋K</v>
      </c>
      <c r="H155" s="3"/>
    </row>
    <row r="156" spans="1:8" ht="15" customHeight="1" x14ac:dyDescent="0.2">
      <c r="A156" s="10" t="s">
        <v>265</v>
      </c>
      <c r="B156" s="10" t="str">
        <f>IFERROR(
    INDEX([1]FSHIP!B:B,MATCH(A156,[1]FSHIP!A:A,0)),
    IFERROR(
        INDEX([1]釣具商品ship!B:B,MATCH(A156,[1]釣具商品ship!A:A,0)),
        IFERROR(
            INDEX([1]玩具商品ship!B:B,MATCH(A156,[1]玩具商品ship!A:A,0)),
            IFERROR(
                INDEX([1]OEMship!B:B,MATCH(A156,[1]OEMship!A:A,0)),
                IFERROR(
                    INDEX([1]NV6ship!B:B,MATCH(A156,[1]NV6ship!A:A,0)),
                    IFERROR(
                        INDEX([1]NVship!B:B,MATCH(A156,[1]NVship!A:A,0)),
                        IFERROR(
                            INDEX([1]海ship!B:B,MATCH(A156,[1]海ship!A:A,0)),
                            IFERROR(
                                INDEX([1]ｾﾚship!B:B,MATCH(A156,[1]ｾﾚship!A:A,0)),
                                IFERROR(
                                    INDEX([1]ｾﾚﾓﾆｰ商品ship!B:B,MATCH(A156,[1]ｾﾚﾓﾆｰ商品ship!A:A,0)),
                                    INDEX([2]NV!D:D,MATCH(A156,[2]NV!C:C,0))
                                )
                            )
                        )
                    )
                )
            )
        )
    )
)</f>
        <v>爆烈釣光ｼﾝｶｰ 25号 ﾎﾜｲﾄ&amp;ｶﾗｰﾁｪﾝｼﾞ</v>
      </c>
      <c r="C156" s="4" t="s">
        <v>4</v>
      </c>
      <c r="D156" s="10" t="str">
        <f t="shared" si="6"/>
        <v>爆烈釣光ｼﾝｶｰ 25号 ﾎﾜｲﾄ&amp;ｶﾗｰﾁｪﾝｼﾞ ｜ 1F釣具部屋【04】 ｜ K</v>
      </c>
      <c r="E156" s="11" t="str">
        <f t="shared" si="7"/>
        <v>1F釣具部屋</v>
      </c>
      <c r="F156" s="12" t="s">
        <v>21</v>
      </c>
      <c r="G156" s="11" t="str">
        <f t="shared" si="8"/>
        <v>04・1F釣具部屋K</v>
      </c>
      <c r="H156" s="3"/>
    </row>
    <row r="157" spans="1:8" ht="15" customHeight="1" x14ac:dyDescent="0.2">
      <c r="A157" s="10" t="s">
        <v>264</v>
      </c>
      <c r="B157" s="10" t="str">
        <f>IFERROR(
    INDEX([1]FSHIP!B:B,MATCH(A157,[1]FSHIP!A:A,0)),
    IFERROR(
        INDEX([1]釣具商品ship!B:B,MATCH(A157,[1]釣具商品ship!A:A,0)),
        IFERROR(
            INDEX([1]玩具商品ship!B:B,MATCH(A157,[1]玩具商品ship!A:A,0)),
            IFERROR(
                INDEX([1]OEMship!B:B,MATCH(A157,[1]OEMship!A:A,0)),
                IFERROR(
                    INDEX([1]NV6ship!B:B,MATCH(A157,[1]NV6ship!A:A,0)),
                    IFERROR(
                        INDEX([1]NVship!B:B,MATCH(A157,[1]NVship!A:A,0)),
                        IFERROR(
                            INDEX([1]海ship!B:B,MATCH(A157,[1]海ship!A:A,0)),
                            IFERROR(
                                INDEX([1]ｾﾚship!B:B,MATCH(A157,[1]ｾﾚship!A:A,0)),
                                IFERROR(
                                    INDEX([1]ｾﾚﾓﾆｰ商品ship!B:B,MATCH(A157,[1]ｾﾚﾓﾆｰ商品ship!A:A,0)),
                                    INDEX([2]NV!D:D,MATCH(A157,[2]NV!C:C,0))
                                )
                            )
                        )
                    )
                )
            )
        )
    )
)</f>
        <v>爆烈釣光ｼﾝｶｰ 30号 ｲｴﾛｰ&amp;ｸﾞﾘｰﾝ</v>
      </c>
      <c r="C157" s="4" t="s">
        <v>4</v>
      </c>
      <c r="D157" s="10" t="str">
        <f t="shared" si="6"/>
        <v>爆烈釣光ｼﾝｶｰ 30号 ｲｴﾛｰ&amp;ｸﾞﾘｰﾝ ｜ 1F釣具部屋【04】 ｜ K</v>
      </c>
      <c r="E157" s="11" t="str">
        <f t="shared" si="7"/>
        <v>1F釣具部屋</v>
      </c>
      <c r="F157" s="12" t="s">
        <v>21</v>
      </c>
      <c r="G157" s="11" t="str">
        <f t="shared" si="8"/>
        <v>04・1F釣具部屋K</v>
      </c>
      <c r="H157" s="3"/>
    </row>
    <row r="158" spans="1:8" ht="15" customHeight="1" x14ac:dyDescent="0.2">
      <c r="A158" s="10" t="s">
        <v>267</v>
      </c>
      <c r="B158" s="10" t="str">
        <f>IFERROR(
    INDEX([1]FSHIP!B:B,MATCH(A158,[1]FSHIP!A:A,0)),
    IFERROR(
        INDEX([1]釣具商品ship!B:B,MATCH(A158,[1]釣具商品ship!A:A,0)),
        IFERROR(
            INDEX([1]玩具商品ship!B:B,MATCH(A158,[1]玩具商品ship!A:A,0)),
            IFERROR(
                INDEX([1]OEMship!B:B,MATCH(A158,[1]OEMship!A:A,0)),
                IFERROR(
                    INDEX([1]NV6ship!B:B,MATCH(A158,[1]NV6ship!A:A,0)),
                    IFERROR(
                        INDEX([1]NVship!B:B,MATCH(A158,[1]NVship!A:A,0)),
                        IFERROR(
                            INDEX([1]海ship!B:B,MATCH(A158,[1]海ship!A:A,0)),
                            IFERROR(
                                INDEX([1]ｾﾚship!B:B,MATCH(A158,[1]ｾﾚship!A:A,0)),
                                IFERROR(
                                    INDEX([1]ｾﾚﾓﾆｰ商品ship!B:B,MATCH(A158,[1]ｾﾚﾓﾆｰ商品ship!A:A,0)),
                                    INDEX([2]NV!D:D,MATCH(A158,[2]NV!C:C,0))
                                )
                            )
                        )
                    )
                )
            )
        )
    )
)</f>
        <v>爆烈釣光ｼﾝｶｰ 30号 ﾚｯﾄﾞ&amp;ﾚｯﾄﾞ</v>
      </c>
      <c r="C158" s="4" t="s">
        <v>4</v>
      </c>
      <c r="D158" s="10" t="str">
        <f t="shared" si="6"/>
        <v>爆烈釣光ｼﾝｶｰ 30号 ﾚｯﾄﾞ&amp;ﾚｯﾄﾞ ｜ 1F釣具部屋【04】 ｜ K</v>
      </c>
      <c r="E158" s="11" t="str">
        <f t="shared" si="7"/>
        <v>1F釣具部屋</v>
      </c>
      <c r="F158" s="12" t="s">
        <v>21</v>
      </c>
      <c r="G158" s="11" t="str">
        <f t="shared" si="8"/>
        <v>04・1F釣具部屋K</v>
      </c>
      <c r="H158" s="3"/>
    </row>
    <row r="159" spans="1:8" ht="15" customHeight="1" x14ac:dyDescent="0.2">
      <c r="A159" s="10" t="s">
        <v>266</v>
      </c>
      <c r="B159" s="10" t="str">
        <f>IFERROR(
    INDEX([1]FSHIP!B:B,MATCH(A159,[1]FSHIP!A:A,0)),
    IFERROR(
        INDEX([1]釣具商品ship!B:B,MATCH(A159,[1]釣具商品ship!A:A,0)),
        IFERROR(
            INDEX([1]玩具商品ship!B:B,MATCH(A159,[1]玩具商品ship!A:A,0)),
            IFERROR(
                INDEX([1]OEMship!B:B,MATCH(A159,[1]OEMship!A:A,0)),
                IFERROR(
                    INDEX([1]NV6ship!B:B,MATCH(A159,[1]NV6ship!A:A,0)),
                    IFERROR(
                        INDEX([1]NVship!B:B,MATCH(A159,[1]NVship!A:A,0)),
                        IFERROR(
                            INDEX([1]海ship!B:B,MATCH(A159,[1]海ship!A:A,0)),
                            IFERROR(
                                INDEX([1]ｾﾚship!B:B,MATCH(A159,[1]ｾﾚship!A:A,0)),
                                IFERROR(
                                    INDEX([1]ｾﾚﾓﾆｰ商品ship!B:B,MATCH(A159,[1]ｾﾚﾓﾆｰ商品ship!A:A,0)),
                                    INDEX([2]NV!D:D,MATCH(A159,[2]NV!C:C,0))
                                )
                            )
                        )
                    )
                )
            )
        )
    )
)</f>
        <v>爆烈釣光ｼﾝｶｰ 30号 ｸﾞﾛｰ&amp;ﾌﾞﾙｰ</v>
      </c>
      <c r="C159" s="4" t="s">
        <v>4</v>
      </c>
      <c r="D159" s="10" t="str">
        <f t="shared" si="6"/>
        <v>爆烈釣光ｼﾝｶｰ 30号 ｸﾞﾛｰ&amp;ﾌﾞﾙｰ ｜ 1F釣具部屋【04】 ｜ K</v>
      </c>
      <c r="E159" s="11" t="str">
        <f t="shared" si="7"/>
        <v>1F釣具部屋</v>
      </c>
      <c r="F159" s="12" t="s">
        <v>21</v>
      </c>
      <c r="G159" s="11" t="str">
        <f t="shared" si="8"/>
        <v>04・1F釣具部屋K</v>
      </c>
      <c r="H159" s="3"/>
    </row>
    <row r="160" spans="1:8" ht="15" customHeight="1" x14ac:dyDescent="0.2">
      <c r="A160" s="10" t="s">
        <v>268</v>
      </c>
      <c r="B160" s="10" t="str">
        <f>IFERROR(
    INDEX([1]FSHIP!B:B,MATCH(A160,[1]FSHIP!A:A,0)),
    IFERROR(
        INDEX([1]釣具商品ship!B:B,MATCH(A160,[1]釣具商品ship!A:A,0)),
        IFERROR(
            INDEX([1]玩具商品ship!B:B,MATCH(A160,[1]玩具商品ship!A:A,0)),
            IFERROR(
                INDEX([1]OEMship!B:B,MATCH(A160,[1]OEMship!A:A,0)),
                IFERROR(
                    INDEX([1]NV6ship!B:B,MATCH(A160,[1]NV6ship!A:A,0)),
                    IFERROR(
                        INDEX([1]NVship!B:B,MATCH(A160,[1]NVship!A:A,0)),
                        IFERROR(
                            INDEX([1]海ship!B:B,MATCH(A160,[1]海ship!A:A,0)),
                            IFERROR(
                                INDEX([1]ｾﾚship!B:B,MATCH(A160,[1]ｾﾚship!A:A,0)),
                                IFERROR(
                                    INDEX([1]ｾﾚﾓﾆｰ商品ship!B:B,MATCH(A160,[1]ｾﾚﾓﾆｰ商品ship!A:A,0)),
                                    INDEX([2]NV!D:D,MATCH(A160,[2]NV!C:C,0))
                                )
                            )
                        )
                    )
                )
            )
        )
    )
)</f>
        <v>爆烈釣光ｼﾝｶｰ 30号 ﾎﾜｲﾄ&amp;UV</v>
      </c>
      <c r="C160" s="4" t="s">
        <v>4</v>
      </c>
      <c r="D160" s="10" t="str">
        <f t="shared" si="6"/>
        <v>爆烈釣光ｼﾝｶｰ 30号 ﾎﾜｲﾄ&amp;UV ｜ 1F釣具部屋【04】 ｜ K</v>
      </c>
      <c r="E160" s="11" t="str">
        <f t="shared" si="7"/>
        <v>1F釣具部屋</v>
      </c>
      <c r="F160" s="12" t="s">
        <v>21</v>
      </c>
      <c r="G160" s="11" t="str">
        <f t="shared" si="8"/>
        <v>04・1F釣具部屋K</v>
      </c>
      <c r="H160" s="3"/>
    </row>
    <row r="161" spans="1:8" ht="15" customHeight="1" x14ac:dyDescent="0.2">
      <c r="A161" s="10" t="s">
        <v>269</v>
      </c>
      <c r="B161" s="10" t="str">
        <f>IFERROR(
    INDEX([1]FSHIP!B:B,MATCH(A161,[1]FSHIP!A:A,0)),
    IFERROR(
        INDEX([1]釣具商品ship!B:B,MATCH(A161,[1]釣具商品ship!A:A,0)),
        IFERROR(
            INDEX([1]玩具商品ship!B:B,MATCH(A161,[1]玩具商品ship!A:A,0)),
            IFERROR(
                INDEX([1]OEMship!B:B,MATCH(A161,[1]OEMship!A:A,0)),
                IFERROR(
                    INDEX([1]NV6ship!B:B,MATCH(A161,[1]NV6ship!A:A,0)),
                    IFERROR(
                        INDEX([1]NVship!B:B,MATCH(A161,[1]NVship!A:A,0)),
                        IFERROR(
                            INDEX([1]海ship!B:B,MATCH(A161,[1]海ship!A:A,0)),
                            IFERROR(
                                INDEX([1]ｾﾚship!B:B,MATCH(A161,[1]ｾﾚship!A:A,0)),
                                IFERROR(
                                    INDEX([1]ｾﾚﾓﾆｰ商品ship!B:B,MATCH(A161,[1]ｾﾚﾓﾆｰ商品ship!A:A,0)),
                                    INDEX([2]NV!D:D,MATCH(A161,[2]NV!C:C,0))
                                )
                            )
                        )
                    )
                )
            )
        )
    )
)</f>
        <v>爆烈釣光ｼﾝｶｰ 30号 ﾎﾜｲﾄ&amp;ｶﾗｰﾁｪﾝｼﾞ</v>
      </c>
      <c r="C161" s="4" t="s">
        <v>4</v>
      </c>
      <c r="D161" s="10" t="str">
        <f t="shared" si="6"/>
        <v>爆烈釣光ｼﾝｶｰ 30号 ﾎﾜｲﾄ&amp;ｶﾗｰﾁｪﾝｼﾞ ｜ 1F釣具部屋【04】 ｜ K</v>
      </c>
      <c r="E161" s="11" t="str">
        <f t="shared" si="7"/>
        <v>1F釣具部屋</v>
      </c>
      <c r="F161" s="12" t="s">
        <v>21</v>
      </c>
      <c r="G161" s="11" t="str">
        <f t="shared" si="8"/>
        <v>04・1F釣具部屋K</v>
      </c>
      <c r="H161" s="3"/>
    </row>
    <row r="162" spans="1:8" ht="15" customHeight="1" x14ac:dyDescent="0.2">
      <c r="A162" s="10" t="s">
        <v>125</v>
      </c>
      <c r="B162" s="10" t="str">
        <f>IFERROR(
    INDEX([1]FSHIP!B:B,MATCH(A162,[1]FSHIP!A:A,0)),
    IFERROR(
        INDEX([1]釣具商品ship!B:B,MATCH(A162,[1]釣具商品ship!A:A,0)),
        IFERROR(
            INDEX([1]玩具商品ship!B:B,MATCH(A162,[1]玩具商品ship!A:A,0)),
            IFERROR(
                INDEX([1]OEMship!B:B,MATCH(A162,[1]OEMship!A:A,0)),
                IFERROR(
                    INDEX([1]NV6ship!B:B,MATCH(A162,[1]NV6ship!A:A,0)),
                    IFERROR(
                        INDEX([1]NVship!B:B,MATCH(A162,[1]NVship!A:A,0)),
                        IFERROR(
                            INDEX([1]海ship!B:B,MATCH(A162,[1]海ship!A:A,0)),
                            IFERROR(
                                INDEX([1]ｾﾚship!B:B,MATCH(A162,[1]ｾﾚship!A:A,0)),
                                IFERROR(
                                    INDEX([1]ｾﾚﾓﾆｰ商品ship!B:B,MATCH(A162,[1]ｾﾚﾓﾆｰ商品ship!A:A,0)),
                                    INDEX([2]NV!D:D,MATCH(A162,[2]NV!C:C,0))
                                )
                            )
                        )
                    )
                )
            )
        )
    )
)</f>
        <v>不思議なタコさん 3号 グロー</v>
      </c>
      <c r="C162" s="4" t="s">
        <v>3</v>
      </c>
      <c r="D162" s="10" t="str">
        <f t="shared" si="6"/>
        <v>不思議なタコさん 3号 グロー ｜ 1F釣具部屋【04】 ｜ E</v>
      </c>
      <c r="E162" s="11" t="str">
        <f t="shared" si="7"/>
        <v>1F釣具部屋</v>
      </c>
      <c r="F162" s="12" t="s">
        <v>21</v>
      </c>
      <c r="G162" s="11" t="str">
        <f t="shared" si="8"/>
        <v>04・1F釣具部屋E</v>
      </c>
      <c r="H162" s="3"/>
    </row>
    <row r="163" spans="1:8" ht="15" customHeight="1" x14ac:dyDescent="0.2">
      <c r="A163" s="10" t="s">
        <v>126</v>
      </c>
      <c r="B163" s="10" t="str">
        <f>IFERROR(
    INDEX([1]FSHIP!B:B,MATCH(A163,[1]FSHIP!A:A,0)),
    IFERROR(
        INDEX([1]釣具商品ship!B:B,MATCH(A163,[1]釣具商品ship!A:A,0)),
        IFERROR(
            INDEX([1]玩具商品ship!B:B,MATCH(A163,[1]玩具商品ship!A:A,0)),
            IFERROR(
                INDEX([1]OEMship!B:B,MATCH(A163,[1]OEMship!A:A,0)),
                IFERROR(
                    INDEX([1]NV6ship!B:B,MATCH(A163,[1]NV6ship!A:A,0)),
                    IFERROR(
                        INDEX([1]NVship!B:B,MATCH(A163,[1]NVship!A:A,0)),
                        IFERROR(
                            INDEX([1]海ship!B:B,MATCH(A163,[1]海ship!A:A,0)),
                            IFERROR(
                                INDEX([1]ｾﾚship!B:B,MATCH(A163,[1]ｾﾚship!A:A,0)),
                                IFERROR(
                                    INDEX([1]ｾﾚﾓﾆｰ商品ship!B:B,MATCH(A163,[1]ｾﾚﾓﾆｰ商品ship!A:A,0)),
                                    INDEX([2]NV!D:D,MATCH(A163,[2]NV!C:C,0))
                                )
                            )
                        )
                    )
                )
            )
        )
    )
)</f>
        <v>不思議なタコさん 3号 レッド</v>
      </c>
      <c r="C163" s="4" t="s">
        <v>3</v>
      </c>
      <c r="D163" s="10" t="str">
        <f t="shared" si="6"/>
        <v>不思議なタコさん 3号 レッド ｜ 1F釣具部屋【04】 ｜ E</v>
      </c>
      <c r="E163" s="11" t="str">
        <f t="shared" si="7"/>
        <v>1F釣具部屋</v>
      </c>
      <c r="F163" s="12" t="s">
        <v>21</v>
      </c>
      <c r="G163" s="11" t="str">
        <f t="shared" si="8"/>
        <v>04・1F釣具部屋E</v>
      </c>
      <c r="H163" s="3"/>
    </row>
    <row r="164" spans="1:8" ht="15" customHeight="1" x14ac:dyDescent="0.2">
      <c r="A164" s="10" t="s">
        <v>127</v>
      </c>
      <c r="B164" s="10" t="str">
        <f>IFERROR(
    INDEX([1]FSHIP!B:B,MATCH(A164,[1]FSHIP!A:A,0)),
    IFERROR(
        INDEX([1]釣具商品ship!B:B,MATCH(A164,[1]釣具商品ship!A:A,0)),
        IFERROR(
            INDEX([1]玩具商品ship!B:B,MATCH(A164,[1]玩具商品ship!A:A,0)),
            IFERROR(
                INDEX([1]OEMship!B:B,MATCH(A164,[1]OEMship!A:A,0)),
                IFERROR(
                    INDEX([1]NV6ship!B:B,MATCH(A164,[1]NV6ship!A:A,0)),
                    IFERROR(
                        INDEX([1]NVship!B:B,MATCH(A164,[1]NVship!A:A,0)),
                        IFERROR(
                            INDEX([1]海ship!B:B,MATCH(A164,[1]海ship!A:A,0)),
                            IFERROR(
                                INDEX([1]ｾﾚship!B:B,MATCH(A164,[1]ｾﾚship!A:A,0)),
                                IFERROR(
                                    INDEX([1]ｾﾚﾓﾆｰ商品ship!B:B,MATCH(A164,[1]ｾﾚﾓﾆｰ商品ship!A:A,0)),
                                    INDEX([2]NV!D:D,MATCH(A164,[2]NV!C:C,0))
                                )
                            )
                        )
                    )
                )
            )
        )
    )
)</f>
        <v>不思議なタコさん 3号 アカキン</v>
      </c>
      <c r="C164" s="4" t="s">
        <v>3</v>
      </c>
      <c r="D164" s="10" t="str">
        <f t="shared" si="6"/>
        <v>不思議なタコさん 3号 アカキン ｜ 1F釣具部屋【04】 ｜ E</v>
      </c>
      <c r="E164" s="11" t="str">
        <f t="shared" si="7"/>
        <v>1F釣具部屋</v>
      </c>
      <c r="F164" s="12" t="s">
        <v>21</v>
      </c>
      <c r="G164" s="11" t="str">
        <f t="shared" si="8"/>
        <v>04・1F釣具部屋E</v>
      </c>
      <c r="H164" s="3"/>
    </row>
    <row r="165" spans="1:8" ht="15" customHeight="1" x14ac:dyDescent="0.2">
      <c r="A165" s="10" t="s">
        <v>128</v>
      </c>
      <c r="B165" s="10" t="str">
        <f>IFERROR(
    INDEX([1]FSHIP!B:B,MATCH(A165,[1]FSHIP!A:A,0)),
    IFERROR(
        INDEX([1]釣具商品ship!B:B,MATCH(A165,[1]釣具商品ship!A:A,0)),
        IFERROR(
            INDEX([1]玩具商品ship!B:B,MATCH(A165,[1]玩具商品ship!A:A,0)),
            IFERROR(
                INDEX([1]OEMship!B:B,MATCH(A165,[1]OEMship!A:A,0)),
                IFERROR(
                    INDEX([1]NV6ship!B:B,MATCH(A165,[1]NV6ship!A:A,0)),
                    IFERROR(
                        INDEX([1]NVship!B:B,MATCH(A165,[1]NVship!A:A,0)),
                        IFERROR(
                            INDEX([1]海ship!B:B,MATCH(A165,[1]海ship!A:A,0)),
                            IFERROR(
                                INDEX([1]ｾﾚship!B:B,MATCH(A165,[1]ｾﾚship!A:A,0)),
                                IFERROR(
                                    INDEX([1]ｾﾚﾓﾆｰ商品ship!B:B,MATCH(A165,[1]ｾﾚﾓﾆｰ商品ship!A:A,0)),
                                    INDEX([2]NV!D:D,MATCH(A165,[2]NV!C:C,0))
                                )
                            )
                        )
                    )
                )
            )
        )
    )
)</f>
        <v>不思議なタコさん 3号 たこ焼き</v>
      </c>
      <c r="C165" s="4" t="s">
        <v>3</v>
      </c>
      <c r="D165" s="10" t="str">
        <f t="shared" si="6"/>
        <v>不思議なタコさん 3号 たこ焼き ｜ 1F釣具部屋【04】 ｜ E</v>
      </c>
      <c r="E165" s="11" t="str">
        <f t="shared" si="7"/>
        <v>1F釣具部屋</v>
      </c>
      <c r="F165" s="12" t="s">
        <v>21</v>
      </c>
      <c r="G165" s="11" t="str">
        <f t="shared" si="8"/>
        <v>04・1F釣具部屋E</v>
      </c>
      <c r="H165" s="3"/>
    </row>
    <row r="166" spans="1:8" ht="15" customHeight="1" x14ac:dyDescent="0.2">
      <c r="A166" s="10" t="s">
        <v>129</v>
      </c>
      <c r="B166" s="10" t="str">
        <f>IFERROR(
    INDEX([1]FSHIP!B:B,MATCH(A166,[1]FSHIP!A:A,0)),
    IFERROR(
        INDEX([1]釣具商品ship!B:B,MATCH(A166,[1]釣具商品ship!A:A,0)),
        IFERROR(
            INDEX([1]玩具商品ship!B:B,MATCH(A166,[1]玩具商品ship!A:A,0)),
            IFERROR(
                INDEX([1]OEMship!B:B,MATCH(A166,[1]OEMship!A:A,0)),
                IFERROR(
                    INDEX([1]NV6ship!B:B,MATCH(A166,[1]NV6ship!A:A,0)),
                    IFERROR(
                        INDEX([1]NVship!B:B,MATCH(A166,[1]NVship!A:A,0)),
                        IFERROR(
                            INDEX([1]海ship!B:B,MATCH(A166,[1]海ship!A:A,0)),
                            IFERROR(
                                INDEX([1]ｾﾚship!B:B,MATCH(A166,[1]ｾﾚship!A:A,0)),
                                IFERROR(
                                    INDEX([1]ｾﾚﾓﾆｰ商品ship!B:B,MATCH(A166,[1]ｾﾚﾓﾆｰ商品ship!A:A,0)),
                                    INDEX([2]NV!D:D,MATCH(A166,[2]NV!C:C,0))
                                )
                            )
                        )
                    )
                )
            )
        )
    )
)</f>
        <v>不思議なタコさん 5号 グロー</v>
      </c>
      <c r="C166" s="4" t="s">
        <v>3</v>
      </c>
      <c r="D166" s="10" t="str">
        <f t="shared" si="6"/>
        <v>不思議なタコさん 5号 グロー ｜ 1F釣具部屋【04】 ｜ E</v>
      </c>
      <c r="E166" s="11" t="str">
        <f t="shared" si="7"/>
        <v>1F釣具部屋</v>
      </c>
      <c r="F166" s="12" t="s">
        <v>21</v>
      </c>
      <c r="G166" s="11" t="str">
        <f t="shared" si="8"/>
        <v>04・1F釣具部屋E</v>
      </c>
      <c r="H166" s="3"/>
    </row>
    <row r="167" spans="1:8" ht="15" customHeight="1" x14ac:dyDescent="0.2">
      <c r="A167" s="10" t="s">
        <v>130</v>
      </c>
      <c r="B167" s="10" t="str">
        <f>IFERROR(
    INDEX([1]FSHIP!B:B,MATCH(A167,[1]FSHIP!A:A,0)),
    IFERROR(
        INDEX([1]釣具商品ship!B:B,MATCH(A167,[1]釣具商品ship!A:A,0)),
        IFERROR(
            INDEX([1]玩具商品ship!B:B,MATCH(A167,[1]玩具商品ship!A:A,0)),
            IFERROR(
                INDEX([1]OEMship!B:B,MATCH(A167,[1]OEMship!A:A,0)),
                IFERROR(
                    INDEX([1]NV6ship!B:B,MATCH(A167,[1]NV6ship!A:A,0)),
                    IFERROR(
                        INDEX([1]NVship!B:B,MATCH(A167,[1]NVship!A:A,0)),
                        IFERROR(
                            INDEX([1]海ship!B:B,MATCH(A167,[1]海ship!A:A,0)),
                            IFERROR(
                                INDEX([1]ｾﾚship!B:B,MATCH(A167,[1]ｾﾚship!A:A,0)),
                                IFERROR(
                                    INDEX([1]ｾﾚﾓﾆｰ商品ship!B:B,MATCH(A167,[1]ｾﾚﾓﾆｰ商品ship!A:A,0)),
                                    INDEX([2]NV!D:D,MATCH(A167,[2]NV!C:C,0))
                                )
                            )
                        )
                    )
                )
            )
        )
    )
)</f>
        <v>不思議なタコさん 5号 レッド</v>
      </c>
      <c r="C167" s="4" t="s">
        <v>3</v>
      </c>
      <c r="D167" s="10" t="str">
        <f t="shared" si="6"/>
        <v>不思議なタコさん 5号 レッド ｜ 1F釣具部屋【04】 ｜ E</v>
      </c>
      <c r="E167" s="11" t="str">
        <f t="shared" si="7"/>
        <v>1F釣具部屋</v>
      </c>
      <c r="F167" s="12" t="s">
        <v>21</v>
      </c>
      <c r="G167" s="11" t="str">
        <f t="shared" si="8"/>
        <v>04・1F釣具部屋E</v>
      </c>
      <c r="H167" s="3"/>
    </row>
    <row r="168" spans="1:8" ht="15" customHeight="1" x14ac:dyDescent="0.2">
      <c r="A168" s="10" t="s">
        <v>131</v>
      </c>
      <c r="B168" s="10" t="str">
        <f>IFERROR(
    INDEX([1]FSHIP!B:B,MATCH(A168,[1]FSHIP!A:A,0)),
    IFERROR(
        INDEX([1]釣具商品ship!B:B,MATCH(A168,[1]釣具商品ship!A:A,0)),
        IFERROR(
            INDEX([1]玩具商品ship!B:B,MATCH(A168,[1]玩具商品ship!A:A,0)),
            IFERROR(
                INDEX([1]OEMship!B:B,MATCH(A168,[1]OEMship!A:A,0)),
                IFERROR(
                    INDEX([1]NV6ship!B:B,MATCH(A168,[1]NV6ship!A:A,0)),
                    IFERROR(
                        INDEX([1]NVship!B:B,MATCH(A168,[1]NVship!A:A,0)),
                        IFERROR(
                            INDEX([1]海ship!B:B,MATCH(A168,[1]海ship!A:A,0)),
                            IFERROR(
                                INDEX([1]ｾﾚship!B:B,MATCH(A168,[1]ｾﾚship!A:A,0)),
                                IFERROR(
                                    INDEX([1]ｾﾚﾓﾆｰ商品ship!B:B,MATCH(A168,[1]ｾﾚﾓﾆｰ商品ship!A:A,0)),
                                    INDEX([2]NV!D:D,MATCH(A168,[2]NV!C:C,0))
                                )
                            )
                        )
                    )
                )
            )
        )
    )
)</f>
        <v>不思議なタコさん 5号 アカキン</v>
      </c>
      <c r="C168" s="4" t="s">
        <v>3</v>
      </c>
      <c r="D168" s="10" t="str">
        <f t="shared" si="6"/>
        <v>不思議なタコさん 5号 アカキン ｜ 1F釣具部屋【04】 ｜ E</v>
      </c>
      <c r="E168" s="11" t="str">
        <f t="shared" si="7"/>
        <v>1F釣具部屋</v>
      </c>
      <c r="F168" s="12" t="s">
        <v>21</v>
      </c>
      <c r="G168" s="11" t="str">
        <f t="shared" si="8"/>
        <v>04・1F釣具部屋E</v>
      </c>
      <c r="H168" s="3"/>
    </row>
    <row r="169" spans="1:8" ht="15" customHeight="1" x14ac:dyDescent="0.2">
      <c r="A169" s="10" t="s">
        <v>132</v>
      </c>
      <c r="B169" s="10" t="str">
        <f>IFERROR(
    INDEX([1]FSHIP!B:B,MATCH(A169,[1]FSHIP!A:A,0)),
    IFERROR(
        INDEX([1]釣具商品ship!B:B,MATCH(A169,[1]釣具商品ship!A:A,0)),
        IFERROR(
            INDEX([1]玩具商品ship!B:B,MATCH(A169,[1]玩具商品ship!A:A,0)),
            IFERROR(
                INDEX([1]OEMship!B:B,MATCH(A169,[1]OEMship!A:A,0)),
                IFERROR(
                    INDEX([1]NV6ship!B:B,MATCH(A169,[1]NV6ship!A:A,0)),
                    IFERROR(
                        INDEX([1]NVship!B:B,MATCH(A169,[1]NVship!A:A,0)),
                        IFERROR(
                            INDEX([1]海ship!B:B,MATCH(A169,[1]海ship!A:A,0)),
                            IFERROR(
                                INDEX([1]ｾﾚship!B:B,MATCH(A169,[1]ｾﾚship!A:A,0)),
                                IFERROR(
                                    INDEX([1]ｾﾚﾓﾆｰ商品ship!B:B,MATCH(A169,[1]ｾﾚﾓﾆｰ商品ship!A:A,0)),
                                    INDEX([2]NV!D:D,MATCH(A169,[2]NV!C:C,0))
                                )
                            )
                        )
                    )
                )
            )
        )
    )
)</f>
        <v>不思議なタコさん 5号 たこ焼き</v>
      </c>
      <c r="C169" s="4" t="s">
        <v>3</v>
      </c>
      <c r="D169" s="10" t="str">
        <f t="shared" si="6"/>
        <v>不思議なタコさん 5号 たこ焼き ｜ 1F釣具部屋【04】 ｜ E</v>
      </c>
      <c r="E169" s="11" t="str">
        <f t="shared" si="7"/>
        <v>1F釣具部屋</v>
      </c>
      <c r="F169" s="12" t="s">
        <v>21</v>
      </c>
      <c r="G169" s="11" t="str">
        <f t="shared" si="8"/>
        <v>04・1F釣具部屋E</v>
      </c>
      <c r="H169" s="3"/>
    </row>
    <row r="170" spans="1:8" ht="15" customHeight="1" x14ac:dyDescent="0.2">
      <c r="A170" s="10" t="s">
        <v>301</v>
      </c>
      <c r="B170" s="10" t="str">
        <f>IFERROR(
    INDEX([1]FSHIP!B:B,MATCH(A170,[1]FSHIP!A:A,0)),
    IFERROR(
        INDEX([1]釣具商品ship!B:B,MATCH(A170,[1]釣具商品ship!A:A,0)),
        IFERROR(
            INDEX([1]玩具商品ship!B:B,MATCH(A170,[1]玩具商品ship!A:A,0)),
            IFERROR(
                INDEX([1]OEMship!B:B,MATCH(A170,[1]OEMship!A:A,0)),
                IFERROR(
                    INDEX([1]NV6ship!B:B,MATCH(A170,[1]NV6ship!A:A,0)),
                    IFERROR(
                        INDEX([1]NVship!B:B,MATCH(A170,[1]NVship!A:A,0)),
                        IFERROR(
                            INDEX([1]海ship!B:B,MATCH(A170,[1]海ship!A:A,0)),
                            IFERROR(
                                INDEX([1]ｾﾚship!B:B,MATCH(A170,[1]ｾﾚship!A:A,0)),
                                IFERROR(
                                    INDEX([1]ｾﾚﾓﾆｰ商品ship!B:B,MATCH(A170,[1]ｾﾚﾓﾆｰ商品ship!A:A,0)),
                                    INDEX([2]NV!D:D,MATCH(A170,[2]NV!C:C,0))
                                )
                            )
                        )
                    )
                )
            )
        )
    )
)</f>
        <v>ハンディおさかなパック中・小型魚用</v>
      </c>
      <c r="C170" s="4" t="s">
        <v>1</v>
      </c>
      <c r="D170" s="10" t="str">
        <f t="shared" si="6"/>
        <v>ハンディおさかなパック中・小型魚用 ｜ 1F釣具部屋【04】 ｜ L</v>
      </c>
      <c r="E170" s="11" t="str">
        <f t="shared" si="7"/>
        <v>1F釣具部屋</v>
      </c>
      <c r="F170" s="12" t="s">
        <v>21</v>
      </c>
      <c r="G170" s="11" t="str">
        <f t="shared" si="8"/>
        <v>04・1F釣具部屋L</v>
      </c>
      <c r="H170" s="3"/>
    </row>
    <row r="171" spans="1:8" ht="15" customHeight="1" x14ac:dyDescent="0.2">
      <c r="A171" s="10" t="s">
        <v>143</v>
      </c>
      <c r="B171" s="10" t="str">
        <f>IFERROR(
    INDEX([1]FSHIP!B:B,MATCH(A171,[1]FSHIP!A:A,0)),
    IFERROR(
        INDEX([1]釣具商品ship!B:B,MATCH(A171,[1]釣具商品ship!A:A,0)),
        IFERROR(
            INDEX([1]玩具商品ship!B:B,MATCH(A171,[1]玩具商品ship!A:A,0)),
            IFERROR(
                INDEX([1]OEMship!B:B,MATCH(A171,[1]OEMship!A:A,0)),
                IFERROR(
                    INDEX([1]NV6ship!B:B,MATCH(A171,[1]NV6ship!A:A,0)),
                    IFERROR(
                        INDEX([1]NVship!B:B,MATCH(A171,[1]NVship!A:A,0)),
                        IFERROR(
                            INDEX([1]海ship!B:B,MATCH(A171,[1]海ship!A:A,0)),
                            IFERROR(
                                INDEX([1]ｾﾚship!B:B,MATCH(A171,[1]ｾﾚship!A:A,0)),
                                IFERROR(
                                    INDEX([1]ｾﾚﾓﾆｰ商品ship!B:B,MATCH(A171,[1]ｾﾚﾓﾆｰ商品ship!A:A,0)),
                                    INDEX([2]NV!D:D,MATCH(A171,[2]NV!C:C,0))
                                )
                            )
                        )
                    )
                )
            )
        )
    )
)</f>
        <v>5連イカパック</v>
      </c>
      <c r="C171" s="4" t="s">
        <v>3</v>
      </c>
      <c r="D171" s="10" t="str">
        <f t="shared" si="6"/>
        <v>5連イカパック ｜ 1F釣具部屋【04】 ｜ E</v>
      </c>
      <c r="E171" s="11" t="str">
        <f t="shared" si="7"/>
        <v>1F釣具部屋</v>
      </c>
      <c r="F171" s="12" t="s">
        <v>21</v>
      </c>
      <c r="G171" s="11" t="str">
        <f t="shared" si="8"/>
        <v>04・1F釣具部屋E</v>
      </c>
      <c r="H171" s="3"/>
    </row>
    <row r="172" spans="1:8" ht="15" customHeight="1" x14ac:dyDescent="0.2">
      <c r="A172" s="10" t="s">
        <v>133</v>
      </c>
      <c r="B172" s="10" t="str">
        <f>IFERROR(
    INDEX([1]FSHIP!B:B,MATCH(A172,[1]FSHIP!A:A,0)),
    IFERROR(
        INDEX([1]釣具商品ship!B:B,MATCH(A172,[1]釣具商品ship!A:A,0)),
        IFERROR(
            INDEX([1]玩具商品ship!B:B,MATCH(A172,[1]玩具商品ship!A:A,0)),
            IFERROR(
                INDEX([1]OEMship!B:B,MATCH(A172,[1]OEMship!A:A,0)),
                IFERROR(
                    INDEX([1]NV6ship!B:B,MATCH(A172,[1]NV6ship!A:A,0)),
                    IFERROR(
                        INDEX([1]NVship!B:B,MATCH(A172,[1]NVship!A:A,0)),
                        IFERROR(
                            INDEX([1]海ship!B:B,MATCH(A172,[1]海ship!A:A,0)),
                            IFERROR(
                                INDEX([1]ｾﾚship!B:B,MATCH(A172,[1]ｾﾚship!A:A,0)),
                                IFERROR(
                                    INDEX([1]ｾﾚﾓﾆｰ商品ship!B:B,MATCH(A172,[1]ｾﾚﾓﾆｰ商品ship!A:A,0)),
                                    INDEX([2]NV!D:D,MATCH(A172,[2]NV!C:C,0))
                                )
                            )
                        )
                    )
                )
            )
        )
    )
)</f>
        <v>Reala 2.4インチ</v>
      </c>
      <c r="C172" s="4" t="s">
        <v>1</v>
      </c>
      <c r="D172" s="10" t="str">
        <f t="shared" si="6"/>
        <v>Reala 2.4インチ ｜ 1F釣具部屋【04】 ｜ L</v>
      </c>
      <c r="E172" s="11" t="str">
        <f t="shared" si="7"/>
        <v>1F釣具部屋</v>
      </c>
      <c r="F172" s="12" t="s">
        <v>21</v>
      </c>
      <c r="G172" s="11" t="str">
        <f t="shared" si="8"/>
        <v>04・1F釣具部屋L</v>
      </c>
      <c r="H172" s="3"/>
    </row>
    <row r="173" spans="1:8" ht="15" customHeight="1" x14ac:dyDescent="0.2">
      <c r="A173" s="10" t="s">
        <v>144</v>
      </c>
      <c r="B173" s="10" t="str">
        <f>IFERROR(
    INDEX([1]FSHIP!B:B,MATCH(A173,[1]FSHIP!A:A,0)),
    IFERROR(
        INDEX([1]釣具商品ship!B:B,MATCH(A173,[1]釣具商品ship!A:A,0)),
        IFERROR(
            INDEX([1]玩具商品ship!B:B,MATCH(A173,[1]玩具商品ship!A:A,0)),
            IFERROR(
                INDEX([1]OEMship!B:B,MATCH(A173,[1]OEMship!A:A,0)),
                IFERROR(
                    INDEX([1]NV6ship!B:B,MATCH(A173,[1]NV6ship!A:A,0)),
                    IFERROR(
                        INDEX([1]NVship!B:B,MATCH(A173,[1]NVship!A:A,0)),
                        IFERROR(
                            INDEX([1]海ship!B:B,MATCH(A173,[1]海ship!A:A,0)),
                            IFERROR(
                                INDEX([1]ｾﾚship!B:B,MATCH(A173,[1]ｾﾚship!A:A,0)),
                                IFERROR(
                                    INDEX([1]ｾﾚﾓﾆｰ商品ship!B:B,MATCH(A173,[1]ｾﾚﾓﾆｰ商品ship!A:A,0)),
                                    INDEX([2]NV!D:D,MATCH(A173,[2]NV!C:C,0))
                                )
                            )
                        )
                    )
                )
            )
        )
    )
)</f>
        <v>アルティメイド15号　赤白</v>
      </c>
      <c r="C173" s="4" t="s">
        <v>3</v>
      </c>
      <c r="D173" s="10" t="str">
        <f t="shared" si="6"/>
        <v>アルティメイド15号　赤白 ｜ 1F釣具部屋【04】 ｜ E</v>
      </c>
      <c r="E173" s="11" t="str">
        <f t="shared" si="7"/>
        <v>1F釣具部屋</v>
      </c>
      <c r="F173" s="12" t="s">
        <v>21</v>
      </c>
      <c r="G173" s="11" t="str">
        <f t="shared" si="8"/>
        <v>04・1F釣具部屋E</v>
      </c>
      <c r="H173" s="3"/>
    </row>
    <row r="174" spans="1:8" ht="15" customHeight="1" x14ac:dyDescent="0.2">
      <c r="A174" s="10" t="s">
        <v>145</v>
      </c>
      <c r="B174" s="10" t="str">
        <f>IFERROR(
    INDEX([1]FSHIP!B:B,MATCH(A174,[1]FSHIP!A:A,0)),
    IFERROR(
        INDEX([1]釣具商品ship!B:B,MATCH(A174,[1]釣具商品ship!A:A,0)),
        IFERROR(
            INDEX([1]玩具商品ship!B:B,MATCH(A174,[1]玩具商品ship!A:A,0)),
            IFERROR(
                INDEX([1]OEMship!B:B,MATCH(A174,[1]OEMship!A:A,0)),
                IFERROR(
                    INDEX([1]NV6ship!B:B,MATCH(A174,[1]NV6ship!A:A,0)),
                    IFERROR(
                        INDEX([1]NVship!B:B,MATCH(A174,[1]NVship!A:A,0)),
                        IFERROR(
                            INDEX([1]海ship!B:B,MATCH(A174,[1]海ship!A:A,0)),
                            IFERROR(
                                INDEX([1]ｾﾚship!B:B,MATCH(A174,[1]ｾﾚship!A:A,0)),
                                IFERROR(
                                    INDEX([1]ｾﾚﾓﾆｰ商品ship!B:B,MATCH(A174,[1]ｾﾚﾓﾆｰ商品ship!A:A,0)),
                                    INDEX([2]NV!D:D,MATCH(A174,[2]NV!C:C,0))
                                )
                            )
                        )
                    )
                )
            )
        )
    )
)</f>
        <v>アルティメイド15号　赤緑</v>
      </c>
      <c r="C174" s="4" t="s">
        <v>3</v>
      </c>
      <c r="D174" s="10" t="str">
        <f t="shared" si="6"/>
        <v>アルティメイド15号　赤緑 ｜ 1F釣具部屋【04】 ｜ E</v>
      </c>
      <c r="E174" s="11" t="str">
        <f t="shared" si="7"/>
        <v>1F釣具部屋</v>
      </c>
      <c r="F174" s="12" t="s">
        <v>21</v>
      </c>
      <c r="G174" s="11" t="str">
        <f t="shared" si="8"/>
        <v>04・1F釣具部屋E</v>
      </c>
      <c r="H174" s="3"/>
    </row>
    <row r="175" spans="1:8" ht="15" customHeight="1" x14ac:dyDescent="0.2">
      <c r="A175" s="10" t="s">
        <v>146</v>
      </c>
      <c r="B175" s="10" t="str">
        <f>IFERROR(
    INDEX([1]FSHIP!B:B,MATCH(A175,[1]FSHIP!A:A,0)),
    IFERROR(
        INDEX([1]釣具商品ship!B:B,MATCH(A175,[1]釣具商品ship!A:A,0)),
        IFERROR(
            INDEX([1]玩具商品ship!B:B,MATCH(A175,[1]玩具商品ship!A:A,0)),
            IFERROR(
                INDEX([1]OEMship!B:B,MATCH(A175,[1]OEMship!A:A,0)),
                IFERROR(
                    INDEX([1]NV6ship!B:B,MATCH(A175,[1]NV6ship!A:A,0)),
                    IFERROR(
                        INDEX([1]NVship!B:B,MATCH(A175,[1]NVship!A:A,0)),
                        IFERROR(
                            INDEX([1]海ship!B:B,MATCH(A175,[1]海ship!A:A,0)),
                            IFERROR(
                                INDEX([1]ｾﾚship!B:B,MATCH(A175,[1]ｾﾚship!A:A,0)),
                                IFERROR(
                                    INDEX([1]ｾﾚﾓﾆｰ商品ship!B:B,MATCH(A175,[1]ｾﾚﾓﾆｰ商品ship!A:A,0)),
                                    INDEX([2]NV!D:D,MATCH(A175,[2]NV!C:C,0))
                                )
                            )
                        )
                    )
                )
            )
        )
    )
)</f>
        <v>アルティメイド15号　小イカ</v>
      </c>
      <c r="C175" s="4" t="s">
        <v>3</v>
      </c>
      <c r="D175" s="10" t="str">
        <f t="shared" si="6"/>
        <v>アルティメイド15号　小イカ ｜ 1F釣具部屋【04】 ｜ E</v>
      </c>
      <c r="E175" s="11" t="str">
        <f t="shared" si="7"/>
        <v>1F釣具部屋</v>
      </c>
      <c r="F175" s="12" t="s">
        <v>21</v>
      </c>
      <c r="G175" s="11" t="str">
        <f t="shared" si="8"/>
        <v>04・1F釣具部屋E</v>
      </c>
      <c r="H175" s="3"/>
    </row>
    <row r="176" spans="1:8" ht="15" customHeight="1" x14ac:dyDescent="0.2">
      <c r="A176" s="10" t="s">
        <v>147</v>
      </c>
      <c r="B176" s="10" t="str">
        <f>IFERROR(
    INDEX([1]FSHIP!B:B,MATCH(A176,[1]FSHIP!A:A,0)),
    IFERROR(
        INDEX([1]釣具商品ship!B:B,MATCH(A176,[1]釣具商品ship!A:A,0)),
        IFERROR(
            INDEX([1]玩具商品ship!B:B,MATCH(A176,[1]玩具商品ship!A:A,0)),
            IFERROR(
                INDEX([1]OEMship!B:B,MATCH(A176,[1]OEMship!A:A,0)),
                IFERROR(
                    INDEX([1]NV6ship!B:B,MATCH(A176,[1]NV6ship!A:A,0)),
                    IFERROR(
                        INDEX([1]NVship!B:B,MATCH(A176,[1]NVship!A:A,0)),
                        IFERROR(
                            INDEX([1]海ship!B:B,MATCH(A176,[1]海ship!A:A,0)),
                            IFERROR(
                                INDEX([1]ｾﾚship!B:B,MATCH(A176,[1]ｾﾚship!A:A,0)),
                                IFERROR(
                                    INDEX([1]ｾﾚﾓﾆｰ商品ship!B:B,MATCH(A176,[1]ｾﾚﾓﾆｰ商品ship!A:A,0)),
                                    INDEX([2]NV!D:D,MATCH(A176,[2]NV!C:C,0))
                                )
                            )
                        )
                    )
                )
            )
        )
    )
)</f>
        <v>アルティメイド15号　ｺｯﾄﾝｷｬﾝﾃﾞｨ</v>
      </c>
      <c r="C176" s="4" t="s">
        <v>3</v>
      </c>
      <c r="D176" s="10" t="str">
        <f t="shared" si="6"/>
        <v>アルティメイド15号　ｺｯﾄﾝｷｬﾝﾃﾞｨ ｜ 1F釣具部屋【04】 ｜ E</v>
      </c>
      <c r="E176" s="11" t="str">
        <f t="shared" si="7"/>
        <v>1F釣具部屋</v>
      </c>
      <c r="F176" s="12" t="s">
        <v>21</v>
      </c>
      <c r="G176" s="11" t="str">
        <f t="shared" si="8"/>
        <v>04・1F釣具部屋E</v>
      </c>
      <c r="H176" s="3"/>
    </row>
    <row r="177" spans="1:8" ht="15" customHeight="1" x14ac:dyDescent="0.2">
      <c r="A177" s="10" t="s">
        <v>148</v>
      </c>
      <c r="B177" s="10" t="str">
        <f>IFERROR(
    INDEX([1]FSHIP!B:B,MATCH(A177,[1]FSHIP!A:A,0)),
    IFERROR(
        INDEX([1]釣具商品ship!B:B,MATCH(A177,[1]釣具商品ship!A:A,0)),
        IFERROR(
            INDEX([1]玩具商品ship!B:B,MATCH(A177,[1]玩具商品ship!A:A,0)),
            IFERROR(
                INDEX([1]OEMship!B:B,MATCH(A177,[1]OEMship!A:A,0)),
                IFERROR(
                    INDEX([1]NV6ship!B:B,MATCH(A177,[1]NV6ship!A:A,0)),
                    IFERROR(
                        INDEX([1]NVship!B:B,MATCH(A177,[1]NVship!A:A,0)),
                        IFERROR(
                            INDEX([1]海ship!B:B,MATCH(A177,[1]海ship!A:A,0)),
                            IFERROR(
                                INDEX([1]ｾﾚship!B:B,MATCH(A177,[1]ｾﾚship!A:A,0)),
                                IFERROR(
                                    INDEX([1]ｾﾚﾓﾆｰ商品ship!B:B,MATCH(A177,[1]ｾﾚﾓﾆｰ商品ship!A:A,0)),
                                    INDEX([2]NV!D:D,MATCH(A177,[2]NV!C:C,0))
                                )
                            )
                        )
                    )
                )
            )
        )
    )
)</f>
        <v>アルティメイド15号　ムラサキピンク</v>
      </c>
      <c r="C177" s="4" t="s">
        <v>3</v>
      </c>
      <c r="D177" s="10" t="str">
        <f t="shared" si="6"/>
        <v>アルティメイド15号　ムラサキピンク ｜ 1F釣具部屋【04】 ｜ E</v>
      </c>
      <c r="E177" s="11" t="str">
        <f t="shared" si="7"/>
        <v>1F釣具部屋</v>
      </c>
      <c r="F177" s="12" t="s">
        <v>21</v>
      </c>
      <c r="G177" s="11" t="str">
        <f t="shared" si="8"/>
        <v>04・1F釣具部屋E</v>
      </c>
      <c r="H177" s="3"/>
    </row>
    <row r="178" spans="1:8" ht="15" customHeight="1" x14ac:dyDescent="0.2">
      <c r="A178" s="10" t="s">
        <v>149</v>
      </c>
      <c r="B178" s="10" t="str">
        <f>IFERROR(
    INDEX([1]FSHIP!B:B,MATCH(A178,[1]FSHIP!A:A,0)),
    IFERROR(
        INDEX([1]釣具商品ship!B:B,MATCH(A178,[1]釣具商品ship!A:A,0)),
        IFERROR(
            INDEX([1]玩具商品ship!B:B,MATCH(A178,[1]玩具商品ship!A:A,0)),
            IFERROR(
                INDEX([1]OEMship!B:B,MATCH(A178,[1]OEMship!A:A,0)),
                IFERROR(
                    INDEX([1]NV6ship!B:B,MATCH(A178,[1]NV6ship!A:A,0)),
                    IFERROR(
                        INDEX([1]NVship!B:B,MATCH(A178,[1]NVship!A:A,0)),
                        IFERROR(
                            INDEX([1]海ship!B:B,MATCH(A178,[1]海ship!A:A,0)),
                            IFERROR(
                                INDEX([1]ｾﾚship!B:B,MATCH(A178,[1]ｾﾚship!A:A,0)),
                                IFERROR(
                                    INDEX([1]ｾﾚﾓﾆｰ商品ship!B:B,MATCH(A178,[1]ｾﾚﾓﾆｰ商品ship!A:A,0)),
                                    INDEX([2]NV!D:D,MATCH(A178,[2]NV!C:C,0))
                                )
                            )
                        )
                    )
                )
            )
        )
    )
)</f>
        <v>アルティメイド15号　チャートイエロー</v>
      </c>
      <c r="C178" s="4" t="s">
        <v>3</v>
      </c>
      <c r="D178" s="10" t="str">
        <f t="shared" si="6"/>
        <v>アルティメイド15号　チャートイエロー ｜ 1F釣具部屋【04】 ｜ E</v>
      </c>
      <c r="E178" s="11" t="str">
        <f t="shared" si="7"/>
        <v>1F釣具部屋</v>
      </c>
      <c r="F178" s="12" t="s">
        <v>21</v>
      </c>
      <c r="G178" s="11" t="str">
        <f t="shared" si="8"/>
        <v>04・1F釣具部屋E</v>
      </c>
      <c r="H178" s="3"/>
    </row>
    <row r="179" spans="1:8" ht="15" customHeight="1" x14ac:dyDescent="0.2">
      <c r="A179" s="10" t="s">
        <v>150</v>
      </c>
      <c r="B179" s="10" t="str">
        <f>IFERROR(
    INDEX([1]FSHIP!B:B,MATCH(A179,[1]FSHIP!A:A,0)),
    IFERROR(
        INDEX([1]釣具商品ship!B:B,MATCH(A179,[1]釣具商品ship!A:A,0)),
        IFERROR(
            INDEX([1]玩具商品ship!B:B,MATCH(A179,[1]玩具商品ship!A:A,0)),
            IFERROR(
                INDEX([1]OEMship!B:B,MATCH(A179,[1]OEMship!A:A,0)),
                IFERROR(
                    INDEX([1]NV6ship!B:B,MATCH(A179,[1]NV6ship!A:A,0)),
                    IFERROR(
                        INDEX([1]NVship!B:B,MATCH(A179,[1]NVship!A:A,0)),
                        IFERROR(
                            INDEX([1]海ship!B:B,MATCH(A179,[1]海ship!A:A,0)),
                            IFERROR(
                                INDEX([1]ｾﾚship!B:B,MATCH(A179,[1]ｾﾚship!A:A,0)),
                                IFERROR(
                                    INDEX([1]ｾﾚﾓﾆｰ商品ship!B:B,MATCH(A179,[1]ｾﾚﾓﾆｰ商品ship!A:A,0)),
                                    INDEX([2]NV!D:D,MATCH(A179,[2]NV!C:C,0))
                                )
                            )
                        )
                    )
                )
            )
        )
    )
)</f>
        <v>アルティメイド20号　赤白</v>
      </c>
      <c r="C179" s="4" t="s">
        <v>3</v>
      </c>
      <c r="D179" s="10" t="str">
        <f t="shared" si="6"/>
        <v>アルティメイド20号　赤白 ｜ 1F釣具部屋【04】 ｜ E</v>
      </c>
      <c r="E179" s="11" t="str">
        <f t="shared" si="7"/>
        <v>1F釣具部屋</v>
      </c>
      <c r="F179" s="12" t="s">
        <v>21</v>
      </c>
      <c r="G179" s="11" t="str">
        <f t="shared" si="8"/>
        <v>04・1F釣具部屋E</v>
      </c>
      <c r="H179" s="3"/>
    </row>
    <row r="180" spans="1:8" ht="15" customHeight="1" x14ac:dyDescent="0.2">
      <c r="A180" s="10" t="s">
        <v>151</v>
      </c>
      <c r="B180" s="10" t="str">
        <f>IFERROR(
    INDEX([1]FSHIP!B:B,MATCH(A180,[1]FSHIP!A:A,0)),
    IFERROR(
        INDEX([1]釣具商品ship!B:B,MATCH(A180,[1]釣具商品ship!A:A,0)),
        IFERROR(
            INDEX([1]玩具商品ship!B:B,MATCH(A180,[1]玩具商品ship!A:A,0)),
            IFERROR(
                INDEX([1]OEMship!B:B,MATCH(A180,[1]OEMship!A:A,0)),
                IFERROR(
                    INDEX([1]NV6ship!B:B,MATCH(A180,[1]NV6ship!A:A,0)),
                    IFERROR(
                        INDEX([1]NVship!B:B,MATCH(A180,[1]NVship!A:A,0)),
                        IFERROR(
                            INDEX([1]海ship!B:B,MATCH(A180,[1]海ship!A:A,0)),
                            IFERROR(
                                INDEX([1]ｾﾚship!B:B,MATCH(A180,[1]ｾﾚship!A:A,0)),
                                IFERROR(
                                    INDEX([1]ｾﾚﾓﾆｰ商品ship!B:B,MATCH(A180,[1]ｾﾚﾓﾆｰ商品ship!A:A,0)),
                                    INDEX([2]NV!D:D,MATCH(A180,[2]NV!C:C,0))
                                )
                            )
                        )
                    )
                )
            )
        )
    )
)</f>
        <v>アルティメイド20号　赤緑</v>
      </c>
      <c r="C180" s="4" t="s">
        <v>3</v>
      </c>
      <c r="D180" s="10" t="str">
        <f t="shared" si="6"/>
        <v>アルティメイド20号　赤緑 ｜ 1F釣具部屋【04】 ｜ E</v>
      </c>
      <c r="E180" s="11" t="str">
        <f t="shared" si="7"/>
        <v>1F釣具部屋</v>
      </c>
      <c r="F180" s="12" t="s">
        <v>21</v>
      </c>
      <c r="G180" s="11" t="str">
        <f t="shared" si="8"/>
        <v>04・1F釣具部屋E</v>
      </c>
      <c r="H180" s="3"/>
    </row>
    <row r="181" spans="1:8" ht="15" customHeight="1" x14ac:dyDescent="0.2">
      <c r="A181" s="10" t="s">
        <v>152</v>
      </c>
      <c r="B181" s="10" t="str">
        <f>IFERROR(
    INDEX([1]FSHIP!B:B,MATCH(A181,[1]FSHIP!A:A,0)),
    IFERROR(
        INDEX([1]釣具商品ship!B:B,MATCH(A181,[1]釣具商品ship!A:A,0)),
        IFERROR(
            INDEX([1]玩具商品ship!B:B,MATCH(A181,[1]玩具商品ship!A:A,0)),
            IFERROR(
                INDEX([1]OEMship!B:B,MATCH(A181,[1]OEMship!A:A,0)),
                IFERROR(
                    INDEX([1]NV6ship!B:B,MATCH(A181,[1]NV6ship!A:A,0)),
                    IFERROR(
                        INDEX([1]NVship!B:B,MATCH(A181,[1]NVship!A:A,0)),
                        IFERROR(
                            INDEX([1]海ship!B:B,MATCH(A181,[1]海ship!A:A,0)),
                            IFERROR(
                                INDEX([1]ｾﾚship!B:B,MATCH(A181,[1]ｾﾚship!A:A,0)),
                                IFERROR(
                                    INDEX([1]ｾﾚﾓﾆｰ商品ship!B:B,MATCH(A181,[1]ｾﾚﾓﾆｰ商品ship!A:A,0)),
                                    INDEX([2]NV!D:D,MATCH(A181,[2]NV!C:C,0))
                                )
                            )
                        )
                    )
                )
            )
        )
    )
)</f>
        <v>アルティメイド20号　小イカ</v>
      </c>
      <c r="C181" s="4" t="s">
        <v>3</v>
      </c>
      <c r="D181" s="10" t="str">
        <f t="shared" si="6"/>
        <v>アルティメイド20号　小イカ ｜ 1F釣具部屋【04】 ｜ E</v>
      </c>
      <c r="E181" s="11" t="str">
        <f t="shared" si="7"/>
        <v>1F釣具部屋</v>
      </c>
      <c r="F181" s="12" t="s">
        <v>21</v>
      </c>
      <c r="G181" s="11" t="str">
        <f t="shared" si="8"/>
        <v>04・1F釣具部屋E</v>
      </c>
      <c r="H181" s="3"/>
    </row>
    <row r="182" spans="1:8" ht="15" customHeight="1" x14ac:dyDescent="0.2">
      <c r="A182" s="10" t="s">
        <v>153</v>
      </c>
      <c r="B182" s="10" t="str">
        <f>IFERROR(
    INDEX([1]FSHIP!B:B,MATCH(A182,[1]FSHIP!A:A,0)),
    IFERROR(
        INDEX([1]釣具商品ship!B:B,MATCH(A182,[1]釣具商品ship!A:A,0)),
        IFERROR(
            INDEX([1]玩具商品ship!B:B,MATCH(A182,[1]玩具商品ship!A:A,0)),
            IFERROR(
                INDEX([1]OEMship!B:B,MATCH(A182,[1]OEMship!A:A,0)),
                IFERROR(
                    INDEX([1]NV6ship!B:B,MATCH(A182,[1]NV6ship!A:A,0)),
                    IFERROR(
                        INDEX([1]NVship!B:B,MATCH(A182,[1]NVship!A:A,0)),
                        IFERROR(
                            INDEX([1]海ship!B:B,MATCH(A182,[1]海ship!A:A,0)),
                            IFERROR(
                                INDEX([1]ｾﾚship!B:B,MATCH(A182,[1]ｾﾚship!A:A,0)),
                                IFERROR(
                                    INDEX([1]ｾﾚﾓﾆｰ商品ship!B:B,MATCH(A182,[1]ｾﾚﾓﾆｰ商品ship!A:A,0)),
                                    INDEX([2]NV!D:D,MATCH(A182,[2]NV!C:C,0))
                                )
                            )
                        )
                    )
                )
            )
        )
    )
)</f>
        <v>アルティメイド20号　ｺｯﾄﾝｷｬﾝﾃﾞｨ</v>
      </c>
      <c r="C182" s="4" t="s">
        <v>3</v>
      </c>
      <c r="D182" s="10" t="str">
        <f t="shared" si="6"/>
        <v>アルティメイド20号　ｺｯﾄﾝｷｬﾝﾃﾞｨ ｜ 1F釣具部屋【04】 ｜ E</v>
      </c>
      <c r="E182" s="11" t="str">
        <f t="shared" si="7"/>
        <v>1F釣具部屋</v>
      </c>
      <c r="F182" s="12" t="s">
        <v>21</v>
      </c>
      <c r="G182" s="11" t="str">
        <f t="shared" si="8"/>
        <v>04・1F釣具部屋E</v>
      </c>
      <c r="H182" s="3"/>
    </row>
    <row r="183" spans="1:8" ht="15" customHeight="1" x14ac:dyDescent="0.2">
      <c r="A183" s="10" t="s">
        <v>154</v>
      </c>
      <c r="B183" s="10" t="str">
        <f>IFERROR(
    INDEX([1]FSHIP!B:B,MATCH(A183,[1]FSHIP!A:A,0)),
    IFERROR(
        INDEX([1]釣具商品ship!B:B,MATCH(A183,[1]釣具商品ship!A:A,0)),
        IFERROR(
            INDEX([1]玩具商品ship!B:B,MATCH(A183,[1]玩具商品ship!A:A,0)),
            IFERROR(
                INDEX([1]OEMship!B:B,MATCH(A183,[1]OEMship!A:A,0)),
                IFERROR(
                    INDEX([1]NV6ship!B:B,MATCH(A183,[1]NV6ship!A:A,0)),
                    IFERROR(
                        INDEX([1]NVship!B:B,MATCH(A183,[1]NVship!A:A,0)),
                        IFERROR(
                            INDEX([1]海ship!B:B,MATCH(A183,[1]海ship!A:A,0)),
                            IFERROR(
                                INDEX([1]ｾﾚship!B:B,MATCH(A183,[1]ｾﾚship!A:A,0)),
                                IFERROR(
                                    INDEX([1]ｾﾚﾓﾆｰ商品ship!B:B,MATCH(A183,[1]ｾﾚﾓﾆｰ商品ship!A:A,0)),
                                    INDEX([2]NV!D:D,MATCH(A183,[2]NV!C:C,0))
                                )
                            )
                        )
                    )
                )
            )
        )
    )
)</f>
        <v>アルティメイド20号　ムラサキピンク</v>
      </c>
      <c r="C183" s="4" t="s">
        <v>3</v>
      </c>
      <c r="D183" s="10" t="str">
        <f t="shared" si="6"/>
        <v>アルティメイド20号　ムラサキピンク ｜ 1F釣具部屋【04】 ｜ E</v>
      </c>
      <c r="E183" s="11" t="str">
        <f t="shared" si="7"/>
        <v>1F釣具部屋</v>
      </c>
      <c r="F183" s="12" t="s">
        <v>21</v>
      </c>
      <c r="G183" s="11" t="str">
        <f t="shared" si="8"/>
        <v>04・1F釣具部屋E</v>
      </c>
      <c r="H183" s="3"/>
    </row>
    <row r="184" spans="1:8" ht="15" customHeight="1" x14ac:dyDescent="0.2">
      <c r="A184" s="10" t="s">
        <v>155</v>
      </c>
      <c r="B184" s="10" t="str">
        <f>IFERROR(
    INDEX([1]FSHIP!B:B,MATCH(A184,[1]FSHIP!A:A,0)),
    IFERROR(
        INDEX([1]釣具商品ship!B:B,MATCH(A184,[1]釣具商品ship!A:A,0)),
        IFERROR(
            INDEX([1]玩具商品ship!B:B,MATCH(A184,[1]玩具商品ship!A:A,0)),
            IFERROR(
                INDEX([1]OEMship!B:B,MATCH(A184,[1]OEMship!A:A,0)),
                IFERROR(
                    INDEX([1]NV6ship!B:B,MATCH(A184,[1]NV6ship!A:A,0)),
                    IFERROR(
                        INDEX([1]NVship!B:B,MATCH(A184,[1]NVship!A:A,0)),
                        IFERROR(
                            INDEX([1]海ship!B:B,MATCH(A184,[1]海ship!A:A,0)),
                            IFERROR(
                                INDEX([1]ｾﾚship!B:B,MATCH(A184,[1]ｾﾚship!A:A,0)),
                                IFERROR(
                                    INDEX([1]ｾﾚﾓﾆｰ商品ship!B:B,MATCH(A184,[1]ｾﾚﾓﾆｰ商品ship!A:A,0)),
                                    INDEX([2]NV!D:D,MATCH(A184,[2]NV!C:C,0))
                                )
                            )
                        )
                    )
                )
            )
        )
    )
)</f>
        <v>アルティメイド20号　チャートイエロー</v>
      </c>
      <c r="C184" s="4" t="s">
        <v>3</v>
      </c>
      <c r="D184" s="10" t="str">
        <f t="shared" si="6"/>
        <v>アルティメイド20号　チャートイエロー ｜ 1F釣具部屋【04】 ｜ E</v>
      </c>
      <c r="E184" s="11" t="str">
        <f t="shared" si="7"/>
        <v>1F釣具部屋</v>
      </c>
      <c r="F184" s="12" t="s">
        <v>21</v>
      </c>
      <c r="G184" s="11" t="str">
        <f t="shared" si="8"/>
        <v>04・1F釣具部屋E</v>
      </c>
      <c r="H184" s="3"/>
    </row>
    <row r="185" spans="1:8" ht="15" customHeight="1" x14ac:dyDescent="0.2">
      <c r="A185" s="10" t="s">
        <v>156</v>
      </c>
      <c r="B185" s="10" t="str">
        <f>IFERROR(
    INDEX([1]FSHIP!B:B,MATCH(A185,[1]FSHIP!A:A,0)),
    IFERROR(
        INDEX([1]釣具商品ship!B:B,MATCH(A185,[1]釣具商品ship!A:A,0)),
        IFERROR(
            INDEX([1]玩具商品ship!B:B,MATCH(A185,[1]玩具商品ship!A:A,0)),
            IFERROR(
                INDEX([1]OEMship!B:B,MATCH(A185,[1]OEMship!A:A,0)),
                IFERROR(
                    INDEX([1]NV6ship!B:B,MATCH(A185,[1]NV6ship!A:A,0)),
                    IFERROR(
                        INDEX([1]NVship!B:B,MATCH(A185,[1]NVship!A:A,0)),
                        IFERROR(
                            INDEX([1]海ship!B:B,MATCH(A185,[1]海ship!A:A,0)),
                            IFERROR(
                                INDEX([1]ｾﾚship!B:B,MATCH(A185,[1]ｾﾚship!A:A,0)),
                                IFERROR(
                                    INDEX([1]ｾﾚﾓﾆｰ商品ship!B:B,MATCH(A185,[1]ｾﾚﾓﾆｰ商品ship!A:A,0)),
                                    INDEX([2]NV!D:D,MATCH(A185,[2]NV!C:C,0))
                                )
                            )
                        )
                    )
                )
            )
        )
    )
)</f>
        <v>アルティメイド25号　赤白</v>
      </c>
      <c r="C185" s="4" t="s">
        <v>3</v>
      </c>
      <c r="D185" s="10" t="str">
        <f t="shared" si="6"/>
        <v>アルティメイド25号　赤白 ｜ 1F釣具部屋【04】 ｜ E</v>
      </c>
      <c r="E185" s="11" t="str">
        <f t="shared" si="7"/>
        <v>1F釣具部屋</v>
      </c>
      <c r="F185" s="12" t="s">
        <v>21</v>
      </c>
      <c r="G185" s="11" t="str">
        <f t="shared" si="8"/>
        <v>04・1F釣具部屋E</v>
      </c>
      <c r="H185" s="3"/>
    </row>
    <row r="186" spans="1:8" ht="15" customHeight="1" x14ac:dyDescent="0.2">
      <c r="A186" s="10" t="s">
        <v>157</v>
      </c>
      <c r="B186" s="10" t="str">
        <f>IFERROR(
    INDEX([1]FSHIP!B:B,MATCH(A186,[1]FSHIP!A:A,0)),
    IFERROR(
        INDEX([1]釣具商品ship!B:B,MATCH(A186,[1]釣具商品ship!A:A,0)),
        IFERROR(
            INDEX([1]玩具商品ship!B:B,MATCH(A186,[1]玩具商品ship!A:A,0)),
            IFERROR(
                INDEX([1]OEMship!B:B,MATCH(A186,[1]OEMship!A:A,0)),
                IFERROR(
                    INDEX([1]NV6ship!B:B,MATCH(A186,[1]NV6ship!A:A,0)),
                    IFERROR(
                        INDEX([1]NVship!B:B,MATCH(A186,[1]NVship!A:A,0)),
                        IFERROR(
                            INDEX([1]海ship!B:B,MATCH(A186,[1]海ship!A:A,0)),
                            IFERROR(
                                INDEX([1]ｾﾚship!B:B,MATCH(A186,[1]ｾﾚship!A:A,0)),
                                IFERROR(
                                    INDEX([1]ｾﾚﾓﾆｰ商品ship!B:B,MATCH(A186,[1]ｾﾚﾓﾆｰ商品ship!A:A,0)),
                                    INDEX([2]NV!D:D,MATCH(A186,[2]NV!C:C,0))
                                )
                            )
                        )
                    )
                )
            )
        )
    )
)</f>
        <v>アルティメイド25号　赤緑</v>
      </c>
      <c r="C186" s="4" t="s">
        <v>3</v>
      </c>
      <c r="D186" s="10" t="str">
        <f t="shared" si="6"/>
        <v>アルティメイド25号　赤緑 ｜ 1F釣具部屋【04】 ｜ E</v>
      </c>
      <c r="E186" s="11" t="str">
        <f t="shared" si="7"/>
        <v>1F釣具部屋</v>
      </c>
      <c r="F186" s="12" t="s">
        <v>21</v>
      </c>
      <c r="G186" s="11" t="str">
        <f t="shared" si="8"/>
        <v>04・1F釣具部屋E</v>
      </c>
      <c r="H186" s="3"/>
    </row>
    <row r="187" spans="1:8" ht="15" customHeight="1" x14ac:dyDescent="0.2">
      <c r="A187" s="10" t="s">
        <v>158</v>
      </c>
      <c r="B187" s="10" t="str">
        <f>IFERROR(
    INDEX([1]FSHIP!B:B,MATCH(A187,[1]FSHIP!A:A,0)),
    IFERROR(
        INDEX([1]釣具商品ship!B:B,MATCH(A187,[1]釣具商品ship!A:A,0)),
        IFERROR(
            INDEX([1]玩具商品ship!B:B,MATCH(A187,[1]玩具商品ship!A:A,0)),
            IFERROR(
                INDEX([1]OEMship!B:B,MATCH(A187,[1]OEMship!A:A,0)),
                IFERROR(
                    INDEX([1]NV6ship!B:B,MATCH(A187,[1]NV6ship!A:A,0)),
                    IFERROR(
                        INDEX([1]NVship!B:B,MATCH(A187,[1]NVship!A:A,0)),
                        IFERROR(
                            INDEX([1]海ship!B:B,MATCH(A187,[1]海ship!A:A,0)),
                            IFERROR(
                                INDEX([1]ｾﾚship!B:B,MATCH(A187,[1]ｾﾚship!A:A,0)),
                                IFERROR(
                                    INDEX([1]ｾﾚﾓﾆｰ商品ship!B:B,MATCH(A187,[1]ｾﾚﾓﾆｰ商品ship!A:A,0)),
                                    INDEX([2]NV!D:D,MATCH(A187,[2]NV!C:C,0))
                                )
                            )
                        )
                    )
                )
            )
        )
    )
)</f>
        <v>アルティメイド25号　小イカ</v>
      </c>
      <c r="C187" s="4" t="s">
        <v>3</v>
      </c>
      <c r="D187" s="10" t="str">
        <f t="shared" si="6"/>
        <v>アルティメイド25号　小イカ ｜ 1F釣具部屋【04】 ｜ E</v>
      </c>
      <c r="E187" s="11" t="str">
        <f t="shared" si="7"/>
        <v>1F釣具部屋</v>
      </c>
      <c r="F187" s="12" t="s">
        <v>21</v>
      </c>
      <c r="G187" s="11" t="str">
        <f t="shared" si="8"/>
        <v>04・1F釣具部屋E</v>
      </c>
      <c r="H187" s="3"/>
    </row>
    <row r="188" spans="1:8" ht="15" customHeight="1" x14ac:dyDescent="0.2">
      <c r="A188" s="10" t="s">
        <v>159</v>
      </c>
      <c r="B188" s="10" t="str">
        <f>IFERROR(
    INDEX([1]FSHIP!B:B,MATCH(A188,[1]FSHIP!A:A,0)),
    IFERROR(
        INDEX([1]釣具商品ship!B:B,MATCH(A188,[1]釣具商品ship!A:A,0)),
        IFERROR(
            INDEX([1]玩具商品ship!B:B,MATCH(A188,[1]玩具商品ship!A:A,0)),
            IFERROR(
                INDEX([1]OEMship!B:B,MATCH(A188,[1]OEMship!A:A,0)),
                IFERROR(
                    INDEX([1]NV6ship!B:B,MATCH(A188,[1]NV6ship!A:A,0)),
                    IFERROR(
                        INDEX([1]NVship!B:B,MATCH(A188,[1]NVship!A:A,0)),
                        IFERROR(
                            INDEX([1]海ship!B:B,MATCH(A188,[1]海ship!A:A,0)),
                            IFERROR(
                                INDEX([1]ｾﾚship!B:B,MATCH(A188,[1]ｾﾚship!A:A,0)),
                                IFERROR(
                                    INDEX([1]ｾﾚﾓﾆｰ商品ship!B:B,MATCH(A188,[1]ｾﾚﾓﾆｰ商品ship!A:A,0)),
                                    INDEX([2]NV!D:D,MATCH(A188,[2]NV!C:C,0))
                                )
                            )
                        )
                    )
                )
            )
        )
    )
)</f>
        <v>アルティメイド25号　ｺｯﾄﾝｷｬﾝﾃﾞｨ</v>
      </c>
      <c r="C188" s="4" t="s">
        <v>3</v>
      </c>
      <c r="D188" s="10" t="str">
        <f t="shared" si="6"/>
        <v>アルティメイド25号　ｺｯﾄﾝｷｬﾝﾃﾞｨ ｜ 1F釣具部屋【04】 ｜ E</v>
      </c>
      <c r="E188" s="11" t="str">
        <f t="shared" si="7"/>
        <v>1F釣具部屋</v>
      </c>
      <c r="F188" s="12" t="s">
        <v>21</v>
      </c>
      <c r="G188" s="11" t="str">
        <f t="shared" si="8"/>
        <v>04・1F釣具部屋E</v>
      </c>
      <c r="H188" s="3"/>
    </row>
    <row r="189" spans="1:8" ht="15" customHeight="1" x14ac:dyDescent="0.2">
      <c r="A189" s="10" t="s">
        <v>160</v>
      </c>
      <c r="B189" s="10" t="str">
        <f>IFERROR(
    INDEX([1]FSHIP!B:B,MATCH(A189,[1]FSHIP!A:A,0)),
    IFERROR(
        INDEX([1]釣具商品ship!B:B,MATCH(A189,[1]釣具商品ship!A:A,0)),
        IFERROR(
            INDEX([1]玩具商品ship!B:B,MATCH(A189,[1]玩具商品ship!A:A,0)),
            IFERROR(
                INDEX([1]OEMship!B:B,MATCH(A189,[1]OEMship!A:A,0)),
                IFERROR(
                    INDEX([1]NV6ship!B:B,MATCH(A189,[1]NV6ship!A:A,0)),
                    IFERROR(
                        INDEX([1]NVship!B:B,MATCH(A189,[1]NVship!A:A,0)),
                        IFERROR(
                            INDEX([1]海ship!B:B,MATCH(A189,[1]海ship!A:A,0)),
                            IFERROR(
                                INDEX([1]ｾﾚship!B:B,MATCH(A189,[1]ｾﾚship!A:A,0)),
                                IFERROR(
                                    INDEX([1]ｾﾚﾓﾆｰ商品ship!B:B,MATCH(A189,[1]ｾﾚﾓﾆｰ商品ship!A:A,0)),
                                    INDEX([2]NV!D:D,MATCH(A189,[2]NV!C:C,0))
                                )
                            )
                        )
                    )
                )
            )
        )
    )
)</f>
        <v>アルティメイド25号　ムラサキピンク</v>
      </c>
      <c r="C189" s="4" t="s">
        <v>3</v>
      </c>
      <c r="D189" s="10" t="str">
        <f t="shared" si="6"/>
        <v>アルティメイド25号　ムラサキピンク ｜ 1F釣具部屋【04】 ｜ E</v>
      </c>
      <c r="E189" s="11" t="str">
        <f t="shared" si="7"/>
        <v>1F釣具部屋</v>
      </c>
      <c r="F189" s="12" t="s">
        <v>21</v>
      </c>
      <c r="G189" s="11" t="str">
        <f t="shared" si="8"/>
        <v>04・1F釣具部屋E</v>
      </c>
      <c r="H189" s="3"/>
    </row>
    <row r="190" spans="1:8" ht="15" customHeight="1" x14ac:dyDescent="0.2">
      <c r="A190" s="10" t="s">
        <v>161</v>
      </c>
      <c r="B190" s="10" t="str">
        <f>IFERROR(
    INDEX([1]FSHIP!B:B,MATCH(A190,[1]FSHIP!A:A,0)),
    IFERROR(
        INDEX([1]釣具商品ship!B:B,MATCH(A190,[1]釣具商品ship!A:A,0)),
        IFERROR(
            INDEX([1]玩具商品ship!B:B,MATCH(A190,[1]玩具商品ship!A:A,0)),
            IFERROR(
                INDEX([1]OEMship!B:B,MATCH(A190,[1]OEMship!A:A,0)),
                IFERROR(
                    INDEX([1]NV6ship!B:B,MATCH(A190,[1]NV6ship!A:A,0)),
                    IFERROR(
                        INDEX([1]NVship!B:B,MATCH(A190,[1]NVship!A:A,0)),
                        IFERROR(
                            INDEX([1]海ship!B:B,MATCH(A190,[1]海ship!A:A,0)),
                            IFERROR(
                                INDEX([1]ｾﾚship!B:B,MATCH(A190,[1]ｾﾚship!A:A,0)),
                                IFERROR(
                                    INDEX([1]ｾﾚﾓﾆｰ商品ship!B:B,MATCH(A190,[1]ｾﾚﾓﾆｰ商品ship!A:A,0)),
                                    INDEX([2]NV!D:D,MATCH(A190,[2]NV!C:C,0))
                                )
                            )
                        )
                    )
                )
            )
        )
    )
)</f>
        <v>アルティメイド25号　チャートイエロー</v>
      </c>
      <c r="C190" s="4" t="s">
        <v>3</v>
      </c>
      <c r="D190" s="10" t="str">
        <f t="shared" si="6"/>
        <v>アルティメイド25号　チャートイエロー ｜ 1F釣具部屋【04】 ｜ E</v>
      </c>
      <c r="E190" s="11" t="str">
        <f t="shared" si="7"/>
        <v>1F釣具部屋</v>
      </c>
      <c r="F190" s="12" t="s">
        <v>21</v>
      </c>
      <c r="G190" s="11" t="str">
        <f t="shared" si="8"/>
        <v>04・1F釣具部屋E</v>
      </c>
      <c r="H190" s="3"/>
    </row>
    <row r="191" spans="1:8" ht="15" customHeight="1" x14ac:dyDescent="0.2">
      <c r="A191" s="10" t="s">
        <v>259</v>
      </c>
      <c r="B191" s="10" t="str">
        <f>IFERROR(
    INDEX([1]FSHIP!B:B,MATCH(A191,[1]FSHIP!A:A,0)),
    IFERROR(
        INDEX([1]釣具商品ship!B:B,MATCH(A191,[1]釣具商品ship!A:A,0)),
        IFERROR(
            INDEX([1]玩具商品ship!B:B,MATCH(A191,[1]玩具商品ship!A:A,0)),
            IFERROR(
                INDEX([1]OEMship!B:B,MATCH(A191,[1]OEMship!A:A,0)),
                IFERROR(
                    INDEX([1]NV6ship!B:B,MATCH(A191,[1]NV6ship!A:A,0)),
                    IFERROR(
                        INDEX([1]NVship!B:B,MATCH(A191,[1]NVship!A:A,0)),
                        IFERROR(
                            INDEX([1]海ship!B:B,MATCH(A191,[1]海ship!A:A,0)),
                            IFERROR(
                                INDEX([1]ｾﾚship!B:B,MATCH(A191,[1]ｾﾚship!A:A,0)),
                                IFERROR(
                                    INDEX([1]ｾﾚﾓﾆｰ商品ship!B:B,MATCH(A191,[1]ｾﾚﾓﾆｰ商品ship!A:A,0)),
                                    INDEX([2]NV!D:D,MATCH(A191,[2]NV!C:C,0))
                                )
                            )
                        )
                    )
                )
            )
        )
    )
)</f>
        <v>絡み防止ガイド</v>
      </c>
      <c r="C191" s="4" t="s">
        <v>6</v>
      </c>
      <c r="D191" s="10" t="str">
        <f t="shared" si="6"/>
        <v>絡み防止ガイド ｜ 1F釣具部屋【04】 ｜ J</v>
      </c>
      <c r="E191" s="11" t="str">
        <f t="shared" si="7"/>
        <v>1F釣具部屋</v>
      </c>
      <c r="F191" s="12" t="s">
        <v>21</v>
      </c>
      <c r="G191" s="11" t="str">
        <f t="shared" si="8"/>
        <v>04・1F釣具部屋J</v>
      </c>
      <c r="H191" s="3"/>
    </row>
    <row r="192" spans="1:8" ht="15" customHeight="1" x14ac:dyDescent="0.2">
      <c r="A192" s="10" t="s">
        <v>258</v>
      </c>
      <c r="B192" s="10" t="str">
        <f>IFERROR(
    INDEX([1]FSHIP!B:B,MATCH(A192,[1]FSHIP!A:A,0)),
    IFERROR(
        INDEX([1]釣具商品ship!B:B,MATCH(A192,[1]釣具商品ship!A:A,0)),
        IFERROR(
            INDEX([1]玩具商品ship!B:B,MATCH(A192,[1]玩具商品ship!A:A,0)),
            IFERROR(
                INDEX([1]OEMship!B:B,MATCH(A192,[1]OEMship!A:A,0)),
                IFERROR(
                    INDEX([1]NV6ship!B:B,MATCH(A192,[1]NV6ship!A:A,0)),
                    IFERROR(
                        INDEX([1]NVship!B:B,MATCH(A192,[1]NVship!A:A,0)),
                        IFERROR(
                            INDEX([1]海ship!B:B,MATCH(A192,[1]海ship!A:A,0)),
                            IFERROR(
                                INDEX([1]ｾﾚship!B:B,MATCH(A192,[1]ｾﾚship!A:A,0)),
                                IFERROR(
                                    INDEX([1]ｾﾚﾓﾆｰ商品ship!B:B,MATCH(A192,[1]ｾﾚﾓﾆｰ商品ship!A:A,0)),
                                    INDEX([2]NV!D:D,MATCH(A192,[2]NV!C:C,0))
                                )
                            )
                        )
                    )
                )
            )
        )
    )
)</f>
        <v>水中集魚ライト専用スナップ　Ｓ</v>
      </c>
      <c r="C192" s="4" t="s">
        <v>6</v>
      </c>
      <c r="D192" s="10" t="str">
        <f t="shared" si="6"/>
        <v>水中集魚ライト専用スナップ　Ｓ ｜ 1F釣具部屋【04】 ｜ J</v>
      </c>
      <c r="E192" s="11" t="str">
        <f t="shared" si="7"/>
        <v>1F釣具部屋</v>
      </c>
      <c r="F192" s="12" t="s">
        <v>21</v>
      </c>
      <c r="G192" s="11" t="str">
        <f t="shared" si="8"/>
        <v>04・1F釣具部屋J</v>
      </c>
      <c r="H192" s="3"/>
    </row>
    <row r="193" spans="1:8" ht="15" customHeight="1" x14ac:dyDescent="0.2">
      <c r="A193" s="10" t="s">
        <v>257</v>
      </c>
      <c r="B193" s="10" t="str">
        <f>IFERROR(
    INDEX([1]FSHIP!B:B,MATCH(A193,[1]FSHIP!A:A,0)),
    IFERROR(
        INDEX([1]釣具商品ship!B:B,MATCH(A193,[1]釣具商品ship!A:A,0)),
        IFERROR(
            INDEX([1]玩具商品ship!B:B,MATCH(A193,[1]玩具商品ship!A:A,0)),
            IFERROR(
                INDEX([1]OEMship!B:B,MATCH(A193,[1]OEMship!A:A,0)),
                IFERROR(
                    INDEX([1]NV6ship!B:B,MATCH(A193,[1]NV6ship!A:A,0)),
                    IFERROR(
                        INDEX([1]NVship!B:B,MATCH(A193,[1]NVship!A:A,0)),
                        IFERROR(
                            INDEX([1]海ship!B:B,MATCH(A193,[1]海ship!A:A,0)),
                            IFERROR(
                                INDEX([1]ｾﾚship!B:B,MATCH(A193,[1]ｾﾚship!A:A,0)),
                                IFERROR(
                                    INDEX([1]ｾﾚﾓﾆｰ商品ship!B:B,MATCH(A193,[1]ｾﾚﾓﾆｰ商品ship!A:A,0)),
                                    INDEX([2]NV!D:D,MATCH(A193,[2]NV!C:C,0))
                                )
                            )
                        )
                    )
                )
            )
        )
    )
)</f>
        <v>水中集魚ライト専用スナップ　Ｍ</v>
      </c>
      <c r="C193" s="4" t="s">
        <v>6</v>
      </c>
      <c r="D193" s="10" t="str">
        <f t="shared" si="6"/>
        <v>水中集魚ライト専用スナップ　Ｍ ｜ 1F釣具部屋【04】 ｜ J</v>
      </c>
      <c r="E193" s="11" t="str">
        <f t="shared" si="7"/>
        <v>1F釣具部屋</v>
      </c>
      <c r="F193" s="12" t="s">
        <v>21</v>
      </c>
      <c r="G193" s="11" t="str">
        <f t="shared" si="8"/>
        <v>04・1F釣具部屋J</v>
      </c>
      <c r="H193" s="3"/>
    </row>
    <row r="194" spans="1:8" ht="15" customHeight="1" x14ac:dyDescent="0.2">
      <c r="A194" s="10" t="s">
        <v>251</v>
      </c>
      <c r="B194" s="10" t="str">
        <f>IFERROR(
    INDEX([1]FSHIP!B:B,MATCH(A194,[1]FSHIP!A:A,0)),
    IFERROR(
        INDEX([1]釣具商品ship!B:B,MATCH(A194,[1]釣具商品ship!A:A,0)),
        IFERROR(
            INDEX([1]玩具商品ship!B:B,MATCH(A194,[1]玩具商品ship!A:A,0)),
            IFERROR(
                INDEX([1]OEMship!B:B,MATCH(A194,[1]OEMship!A:A,0)),
                IFERROR(
                    INDEX([1]NV6ship!B:B,MATCH(A194,[1]NV6ship!A:A,0)),
                    IFERROR(
                        INDEX([1]NVship!B:B,MATCH(A194,[1]NVship!A:A,0)),
                        IFERROR(
                            INDEX([1]海ship!B:B,MATCH(A194,[1]海ship!A:A,0)),
                            IFERROR(
                                INDEX([1]ｾﾚship!B:B,MATCH(A194,[1]ｾﾚship!A:A,0)),
                                IFERROR(
                                    INDEX([1]ｾﾚﾓﾆｰ商品ship!B:B,MATCH(A194,[1]ｾﾚﾓﾆｰ商品ship!A:A,0)),
                                    INDEX([2]NV!D:D,MATCH(A194,[2]NV!C:C,0))
                                )
                            )
                        )
                    )
                )
            )
        )
    )
)</f>
        <v>レベルワインダー･ガイド通し オレンジ</v>
      </c>
      <c r="C194" s="4" t="s">
        <v>6</v>
      </c>
      <c r="D194" s="10" t="str">
        <f t="shared" ref="D194:D257" si="9">B194&amp;" ｜ "&amp;E194&amp;"【"&amp;F194&amp;"】 ｜ "&amp;C194</f>
        <v>レベルワインダー･ガイド通し オレンジ ｜ 1F釣具部屋【04】 ｜ J</v>
      </c>
      <c r="E194" s="11" t="str">
        <f t="shared" ref="E194:E257" si="10">INDEX(K:K, MATCH(F194, J:J, 0))</f>
        <v>1F釣具部屋</v>
      </c>
      <c r="F194" s="12" t="s">
        <v>21</v>
      </c>
      <c r="G194" s="11" t="str">
        <f t="shared" ref="G194:G257" si="11">F194&amp;"・"&amp;E194&amp;C194</f>
        <v>04・1F釣具部屋J</v>
      </c>
      <c r="H194" s="3"/>
    </row>
    <row r="195" spans="1:8" ht="15" customHeight="1" x14ac:dyDescent="0.2">
      <c r="A195" s="10" t="s">
        <v>250</v>
      </c>
      <c r="B195" s="10" t="str">
        <f>IFERROR(
    INDEX([1]FSHIP!B:B,MATCH(A195,[1]FSHIP!A:A,0)),
    IFERROR(
        INDEX([1]釣具商品ship!B:B,MATCH(A195,[1]釣具商品ship!A:A,0)),
        IFERROR(
            INDEX([1]玩具商品ship!B:B,MATCH(A195,[1]玩具商品ship!A:A,0)),
            IFERROR(
                INDEX([1]OEMship!B:B,MATCH(A195,[1]OEMship!A:A,0)),
                IFERROR(
                    INDEX([1]NV6ship!B:B,MATCH(A195,[1]NV6ship!A:A,0)),
                    IFERROR(
                        INDEX([1]NVship!B:B,MATCH(A195,[1]NVship!A:A,0)),
                        IFERROR(
                            INDEX([1]海ship!B:B,MATCH(A195,[1]海ship!A:A,0)),
                            IFERROR(
                                INDEX([1]ｾﾚship!B:B,MATCH(A195,[1]ｾﾚship!A:A,0)),
                                IFERROR(
                                    INDEX([1]ｾﾚﾓﾆｰ商品ship!B:B,MATCH(A195,[1]ｾﾚﾓﾆｰ商品ship!A:A,0)),
                                    INDEX([2]NV!D:D,MATCH(A195,[2]NV!C:C,0))
                                )
                            )
                        )
                    )
                )
            )
        )
    )
)</f>
        <v>レベルワインダー･ガイド通し グリーン</v>
      </c>
      <c r="C195" s="4" t="s">
        <v>6</v>
      </c>
      <c r="D195" s="10" t="str">
        <f t="shared" si="9"/>
        <v>レベルワインダー･ガイド通し グリーン ｜ 1F釣具部屋【04】 ｜ J</v>
      </c>
      <c r="E195" s="11" t="str">
        <f t="shared" si="10"/>
        <v>1F釣具部屋</v>
      </c>
      <c r="F195" s="12" t="s">
        <v>21</v>
      </c>
      <c r="G195" s="11" t="str">
        <f t="shared" si="11"/>
        <v>04・1F釣具部屋J</v>
      </c>
      <c r="H195" s="3"/>
    </row>
    <row r="196" spans="1:8" ht="15" customHeight="1" x14ac:dyDescent="0.2">
      <c r="A196" s="10" t="s">
        <v>249</v>
      </c>
      <c r="B196" s="10" t="str">
        <f>IFERROR(
    INDEX([1]FSHIP!B:B,MATCH(A196,[1]FSHIP!A:A,0)),
    IFERROR(
        INDEX([1]釣具商品ship!B:B,MATCH(A196,[1]釣具商品ship!A:A,0)),
        IFERROR(
            INDEX([1]玩具商品ship!B:B,MATCH(A196,[1]玩具商品ship!A:A,0)),
            IFERROR(
                INDEX([1]OEMship!B:B,MATCH(A196,[1]OEMship!A:A,0)),
                IFERROR(
                    INDEX([1]NV6ship!B:B,MATCH(A196,[1]NV6ship!A:A,0)),
                    IFERROR(
                        INDEX([1]NVship!B:B,MATCH(A196,[1]NVship!A:A,0)),
                        IFERROR(
                            INDEX([1]海ship!B:B,MATCH(A196,[1]海ship!A:A,0)),
                            IFERROR(
                                INDEX([1]ｾﾚship!B:B,MATCH(A196,[1]ｾﾚship!A:A,0)),
                                IFERROR(
                                    INDEX([1]ｾﾚﾓﾆｰ商品ship!B:B,MATCH(A196,[1]ｾﾚﾓﾆｰ商品ship!A:A,0)),
                                    INDEX([2]NV!D:D,MATCH(A196,[2]NV!C:C,0))
                                )
                            )
                        )
                    )
                )
            )
        )
    )
)</f>
        <v>レベルワインダー･ガイド通し ナロータイプ</v>
      </c>
      <c r="C196" s="4" t="s">
        <v>6</v>
      </c>
      <c r="D196" s="10" t="str">
        <f t="shared" si="9"/>
        <v>レベルワインダー･ガイド通し ナロータイプ ｜ 1F釣具部屋【04】 ｜ J</v>
      </c>
      <c r="E196" s="11" t="str">
        <f t="shared" si="10"/>
        <v>1F釣具部屋</v>
      </c>
      <c r="F196" s="12" t="s">
        <v>21</v>
      </c>
      <c r="G196" s="11" t="str">
        <f t="shared" si="11"/>
        <v>04・1F釣具部屋J</v>
      </c>
      <c r="H196" s="3"/>
    </row>
    <row r="197" spans="1:8" ht="15" customHeight="1" x14ac:dyDescent="0.2">
      <c r="A197" s="10" t="s">
        <v>51</v>
      </c>
      <c r="B197" s="10" t="str">
        <f>IFERROR(
    INDEX([1]FSHIP!B:B,MATCH(A197,[1]FSHIP!A:A,0)),
    IFERROR(
        INDEX([1]釣具商品ship!B:B,MATCH(A197,[1]釣具商品ship!A:A,0)),
        IFERROR(
            INDEX([1]玩具商品ship!B:B,MATCH(A197,[1]玩具商品ship!A:A,0)),
            IFERROR(
                INDEX([1]OEMship!B:B,MATCH(A197,[1]OEMship!A:A,0)),
                IFERROR(
                    INDEX([1]NV6ship!B:B,MATCH(A197,[1]NV6ship!A:A,0)),
                    IFERROR(
                        INDEX([1]NVship!B:B,MATCH(A197,[1]NVship!A:A,0)),
                        IFERROR(
                            INDEX([1]海ship!B:B,MATCH(A197,[1]海ship!A:A,0)),
                            IFERROR(
                                INDEX([1]ｾﾚship!B:B,MATCH(A197,[1]ｾﾚship!A:A,0)),
                                IFERROR(
                                    INDEX([1]ｾﾚﾓﾆｰ商品ship!B:B,MATCH(A197,[1]ｾﾚﾓﾆｰ商品ship!A:A,0)),
                                    INDEX([2]NV!D:D,MATCH(A197,[2]NV!C:C,0))
                                )
                            )
                        )
                    )
                )
            )
        )
    )
)</f>
        <v>烈光　Ａｔｙｐｅ　５号　レッド</v>
      </c>
      <c r="C197" s="4" t="s">
        <v>7</v>
      </c>
      <c r="D197" s="10" t="str">
        <f t="shared" si="9"/>
        <v>烈光　Ａｔｙｐｅ　５号　レッド ｜ 1F釣具部屋【04】 ｜ C</v>
      </c>
      <c r="E197" s="11" t="str">
        <f t="shared" si="10"/>
        <v>1F釣具部屋</v>
      </c>
      <c r="F197" s="12" t="s">
        <v>21</v>
      </c>
      <c r="G197" s="11" t="str">
        <f t="shared" si="11"/>
        <v>04・1F釣具部屋C</v>
      </c>
      <c r="H197" s="3"/>
    </row>
    <row r="198" spans="1:8" ht="15" customHeight="1" x14ac:dyDescent="0.2">
      <c r="A198" s="10" t="s">
        <v>52</v>
      </c>
      <c r="B198" s="10" t="str">
        <f>IFERROR(
    INDEX([1]FSHIP!B:B,MATCH(A198,[1]FSHIP!A:A,0)),
    IFERROR(
        INDEX([1]釣具商品ship!B:B,MATCH(A198,[1]釣具商品ship!A:A,0)),
        IFERROR(
            INDEX([1]玩具商品ship!B:B,MATCH(A198,[1]玩具商品ship!A:A,0)),
            IFERROR(
                INDEX([1]OEMship!B:B,MATCH(A198,[1]OEMship!A:A,0)),
                IFERROR(
                    INDEX([1]NV6ship!B:B,MATCH(A198,[1]NV6ship!A:A,0)),
                    IFERROR(
                        INDEX([1]NVship!B:B,MATCH(A198,[1]NVship!A:A,0)),
                        IFERROR(
                            INDEX([1]海ship!B:B,MATCH(A198,[1]海ship!A:A,0)),
                            IFERROR(
                                INDEX([1]ｾﾚship!B:B,MATCH(A198,[1]ｾﾚship!A:A,0)),
                                IFERROR(
                                    INDEX([1]ｾﾚﾓﾆｰ商品ship!B:B,MATCH(A198,[1]ｾﾚﾓﾆｰ商品ship!A:A,0)),
                                    INDEX([2]NV!D:D,MATCH(A198,[2]NV!C:C,0))
                                )
                            )
                        )
                    )
                )
            )
        )
    )
)</f>
        <v>烈光　Ｂｔｙｐｅ　２号　ホワイト</v>
      </c>
      <c r="C198" s="4" t="s">
        <v>7</v>
      </c>
      <c r="D198" s="10" t="str">
        <f t="shared" si="9"/>
        <v>烈光　Ｂｔｙｐｅ　２号　ホワイト ｜ 1F釣具部屋【04】 ｜ C</v>
      </c>
      <c r="E198" s="11" t="str">
        <f t="shared" si="10"/>
        <v>1F釣具部屋</v>
      </c>
      <c r="F198" s="12" t="s">
        <v>21</v>
      </c>
      <c r="G198" s="11" t="str">
        <f t="shared" si="11"/>
        <v>04・1F釣具部屋C</v>
      </c>
      <c r="H198" s="3"/>
    </row>
    <row r="199" spans="1:8" ht="15" customHeight="1" x14ac:dyDescent="0.2">
      <c r="A199" s="10" t="s">
        <v>53</v>
      </c>
      <c r="B199" s="10" t="str">
        <f>IFERROR(
    INDEX([1]FSHIP!B:B,MATCH(A199,[1]FSHIP!A:A,0)),
    IFERROR(
        INDEX([1]釣具商品ship!B:B,MATCH(A199,[1]釣具商品ship!A:A,0)),
        IFERROR(
            INDEX([1]玩具商品ship!B:B,MATCH(A199,[1]玩具商品ship!A:A,0)),
            IFERROR(
                INDEX([1]OEMship!B:B,MATCH(A199,[1]OEMship!A:A,0)),
                IFERROR(
                    INDEX([1]NV6ship!B:B,MATCH(A199,[1]NV6ship!A:A,0)),
                    IFERROR(
                        INDEX([1]NVship!B:B,MATCH(A199,[1]NVship!A:A,0)),
                        IFERROR(
                            INDEX([1]海ship!B:B,MATCH(A199,[1]海ship!A:A,0)),
                            IFERROR(
                                INDEX([1]ｾﾚship!B:B,MATCH(A199,[1]ｾﾚship!A:A,0)),
                                IFERROR(
                                    INDEX([1]ｾﾚﾓﾆｰ商品ship!B:B,MATCH(A199,[1]ｾﾚﾓﾆｰ商品ship!A:A,0)),
                                    INDEX([2]NV!D:D,MATCH(A199,[2]NV!C:C,0))
                                )
                            )
                        )
                    )
                )
            )
        )
    )
)</f>
        <v>烈光 Btype 2号 イエロー</v>
      </c>
      <c r="C199" s="4" t="s">
        <v>7</v>
      </c>
      <c r="D199" s="10" t="str">
        <f t="shared" si="9"/>
        <v>烈光 Btype 2号 イエロー ｜ 1F釣具部屋【04】 ｜ C</v>
      </c>
      <c r="E199" s="11" t="str">
        <f t="shared" si="10"/>
        <v>1F釣具部屋</v>
      </c>
      <c r="F199" s="12" t="s">
        <v>21</v>
      </c>
      <c r="G199" s="11" t="str">
        <f t="shared" si="11"/>
        <v>04・1F釣具部屋C</v>
      </c>
      <c r="H199" s="3"/>
    </row>
    <row r="200" spans="1:8" ht="15" customHeight="1" x14ac:dyDescent="0.2">
      <c r="A200" s="10" t="s">
        <v>54</v>
      </c>
      <c r="B200" s="10" t="str">
        <f>IFERROR(
    INDEX([1]FSHIP!B:B,MATCH(A200,[1]FSHIP!A:A,0)),
    IFERROR(
        INDEX([1]釣具商品ship!B:B,MATCH(A200,[1]釣具商品ship!A:A,0)),
        IFERROR(
            INDEX([1]玩具商品ship!B:B,MATCH(A200,[1]玩具商品ship!A:A,0)),
            IFERROR(
                INDEX([1]OEMship!B:B,MATCH(A200,[1]OEMship!A:A,0)),
                IFERROR(
                    INDEX([1]NV6ship!B:B,MATCH(A200,[1]NV6ship!A:A,0)),
                    IFERROR(
                        INDEX([1]NVship!B:B,MATCH(A200,[1]NVship!A:A,0)),
                        IFERROR(
                            INDEX([1]海ship!B:B,MATCH(A200,[1]海ship!A:A,0)),
                            IFERROR(
                                INDEX([1]ｾﾚship!B:B,MATCH(A200,[1]ｾﾚship!A:A,0)),
                                IFERROR(
                                    INDEX([1]ｾﾚﾓﾆｰ商品ship!B:B,MATCH(A200,[1]ｾﾚﾓﾆｰ商品ship!A:A,0)),
                                    INDEX([2]NV!D:D,MATCH(A200,[2]NV!C:C,0))
                                )
                            )
                        )
                    )
                )
            )
        )
    )
)</f>
        <v>烈光　遠投ｔｙｐｅ　12号　グリーン</v>
      </c>
      <c r="C200" s="4" t="s">
        <v>1</v>
      </c>
      <c r="D200" s="10" t="str">
        <f t="shared" si="9"/>
        <v>烈光　遠投ｔｙｐｅ　12号　グリーン ｜ 1F釣具部屋【04】 ｜ L</v>
      </c>
      <c r="E200" s="11" t="str">
        <f t="shared" si="10"/>
        <v>1F釣具部屋</v>
      </c>
      <c r="F200" s="12" t="s">
        <v>21</v>
      </c>
      <c r="G200" s="11" t="str">
        <f t="shared" si="11"/>
        <v>04・1F釣具部屋L</v>
      </c>
      <c r="H200" s="3"/>
    </row>
    <row r="201" spans="1:8" ht="15" customHeight="1" x14ac:dyDescent="0.2">
      <c r="A201" s="10" t="s">
        <v>55</v>
      </c>
      <c r="B201" s="10" t="str">
        <f>IFERROR(
    INDEX([1]FSHIP!B:B,MATCH(A201,[1]FSHIP!A:A,0)),
    IFERROR(
        INDEX([1]釣具商品ship!B:B,MATCH(A201,[1]釣具商品ship!A:A,0)),
        IFERROR(
            INDEX([1]玩具商品ship!B:B,MATCH(A201,[1]玩具商品ship!A:A,0)),
            IFERROR(
                INDEX([1]OEMship!B:B,MATCH(A201,[1]OEMship!A:A,0)),
                IFERROR(
                    INDEX([1]NV6ship!B:B,MATCH(A201,[1]NV6ship!A:A,0)),
                    IFERROR(
                        INDEX([1]NVship!B:B,MATCH(A201,[1]NVship!A:A,0)),
                        IFERROR(
                            INDEX([1]海ship!B:B,MATCH(A201,[1]海ship!A:A,0)),
                            IFERROR(
                                INDEX([1]ｾﾚship!B:B,MATCH(A201,[1]ｾﾚship!A:A,0)),
                                IFERROR(
                                    INDEX([1]ｾﾚﾓﾆｰ商品ship!B:B,MATCH(A201,[1]ｾﾚﾓﾆｰ商品ship!A:A,0)),
                                    INDEX([2]NV!D:D,MATCH(A201,[2]NV!C:C,0))
                                )
                            )
                        )
                    )
                )
            )
        )
    )
)</f>
        <v>烈光　遠投ｔｙｐｅ　12号　オレンジ</v>
      </c>
      <c r="C201" s="4" t="s">
        <v>1</v>
      </c>
      <c r="D201" s="10" t="str">
        <f t="shared" si="9"/>
        <v>烈光　遠投ｔｙｐｅ　12号　オレンジ ｜ 1F釣具部屋【04】 ｜ L</v>
      </c>
      <c r="E201" s="11" t="str">
        <f t="shared" si="10"/>
        <v>1F釣具部屋</v>
      </c>
      <c r="F201" s="12" t="s">
        <v>21</v>
      </c>
      <c r="G201" s="11" t="str">
        <f t="shared" si="11"/>
        <v>04・1F釣具部屋L</v>
      </c>
      <c r="H201" s="3"/>
    </row>
    <row r="202" spans="1:8" ht="15" customHeight="1" x14ac:dyDescent="0.2">
      <c r="A202" s="10" t="s">
        <v>56</v>
      </c>
      <c r="B202" s="10" t="str">
        <f>IFERROR(
    INDEX([1]FSHIP!B:B,MATCH(A202,[1]FSHIP!A:A,0)),
    IFERROR(
        INDEX([1]釣具商品ship!B:B,MATCH(A202,[1]釣具商品ship!A:A,0)),
        IFERROR(
            INDEX([1]玩具商品ship!B:B,MATCH(A202,[1]玩具商品ship!A:A,0)),
            IFERROR(
                INDEX([1]OEMship!B:B,MATCH(A202,[1]OEMship!A:A,0)),
                IFERROR(
                    INDEX([1]NV6ship!B:B,MATCH(A202,[1]NV6ship!A:A,0)),
                    IFERROR(
                        INDEX([1]NVship!B:B,MATCH(A202,[1]NVship!A:A,0)),
                        IFERROR(
                            INDEX([1]海ship!B:B,MATCH(A202,[1]海ship!A:A,0)),
                            IFERROR(
                                INDEX([1]ｾﾚship!B:B,MATCH(A202,[1]ｾﾚship!A:A,0)),
                                IFERROR(
                                    INDEX([1]ｾﾚﾓﾆｰ商品ship!B:B,MATCH(A202,[1]ｾﾚﾓﾆｰ商品ship!A:A,0)),
                                    INDEX([2]NV!D:D,MATCH(A202,[2]NV!C:C,0))
                                )
                            )
                        )
                    )
                )
            )
        )
    )
)</f>
        <v>烈光　遠投ｔｙｐｅ　15号　ピンク</v>
      </c>
      <c r="C202" s="4" t="s">
        <v>1</v>
      </c>
      <c r="D202" s="10" t="str">
        <f t="shared" si="9"/>
        <v>烈光　遠投ｔｙｐｅ　15号　ピンク ｜ 1F釣具部屋【04】 ｜ L</v>
      </c>
      <c r="E202" s="11" t="str">
        <f t="shared" si="10"/>
        <v>1F釣具部屋</v>
      </c>
      <c r="F202" s="12" t="s">
        <v>21</v>
      </c>
      <c r="G202" s="11" t="str">
        <f t="shared" si="11"/>
        <v>04・1F釣具部屋L</v>
      </c>
      <c r="H202" s="3"/>
    </row>
    <row r="203" spans="1:8" ht="15" customHeight="1" x14ac:dyDescent="0.2">
      <c r="A203" s="10" t="s">
        <v>57</v>
      </c>
      <c r="B203" s="10" t="str">
        <f>IFERROR(
    INDEX([1]FSHIP!B:B,MATCH(A203,[1]FSHIP!A:A,0)),
    IFERROR(
        INDEX([1]釣具商品ship!B:B,MATCH(A203,[1]釣具商品ship!A:A,0)),
        IFERROR(
            INDEX([1]玩具商品ship!B:B,MATCH(A203,[1]玩具商品ship!A:A,0)),
            IFERROR(
                INDEX([1]OEMship!B:B,MATCH(A203,[1]OEMship!A:A,0)),
                IFERROR(
                    INDEX([1]NV6ship!B:B,MATCH(A203,[1]NV6ship!A:A,0)),
                    IFERROR(
                        INDEX([1]NVship!B:B,MATCH(A203,[1]NVship!A:A,0)),
                        IFERROR(
                            INDEX([1]海ship!B:B,MATCH(A203,[1]海ship!A:A,0)),
                            IFERROR(
                                INDEX([1]ｾﾚship!B:B,MATCH(A203,[1]ｾﾚship!A:A,0)),
                                IFERROR(
                                    INDEX([1]ｾﾚﾓﾆｰ商品ship!B:B,MATCH(A203,[1]ｾﾚﾓﾆｰ商品ship!A:A,0)),
                                    INDEX([2]NV!D:D,MATCH(A203,[2]NV!C:C,0))
                                )
                            )
                        )
                    )
                )
            )
        )
    )
)</f>
        <v>烈光　遠投ｔｙｐｅ　15号　オレンジ</v>
      </c>
      <c r="C203" s="4" t="s">
        <v>1</v>
      </c>
      <c r="D203" s="10" t="str">
        <f t="shared" si="9"/>
        <v>烈光　遠投ｔｙｐｅ　15号　オレンジ ｜ 1F釣具部屋【04】 ｜ L</v>
      </c>
      <c r="E203" s="11" t="str">
        <f t="shared" si="10"/>
        <v>1F釣具部屋</v>
      </c>
      <c r="F203" s="12" t="s">
        <v>21</v>
      </c>
      <c r="G203" s="11" t="str">
        <f t="shared" si="11"/>
        <v>04・1F釣具部屋L</v>
      </c>
      <c r="H203" s="3"/>
    </row>
    <row r="204" spans="1:8" ht="15" customHeight="1" x14ac:dyDescent="0.2">
      <c r="A204" s="10" t="s">
        <v>29</v>
      </c>
      <c r="B204" s="10" t="str">
        <f>IFERROR(
    INDEX([1]FSHIP!B:B,MATCH(A204,[1]FSHIP!A:A,0)),
    IFERROR(
        INDEX([1]釣具商品ship!B:B,MATCH(A204,[1]釣具商品ship!A:A,0)),
        IFERROR(
            INDEX([1]玩具商品ship!B:B,MATCH(A204,[1]玩具商品ship!A:A,0)),
            IFERROR(
                INDEX([1]OEMship!B:B,MATCH(A204,[1]OEMship!A:A,0)),
                IFERROR(
                    INDEX([1]NV6ship!B:B,MATCH(A204,[1]NV6ship!A:A,0)),
                    IFERROR(
                        INDEX([1]NVship!B:B,MATCH(A204,[1]NVship!A:A,0)),
                        IFERROR(
                            INDEX([1]海ship!B:B,MATCH(A204,[1]海ship!A:A,0)),
                            IFERROR(
                                INDEX([1]ｾﾚship!B:B,MATCH(A204,[1]ｾﾚship!A:A,0)),
                                IFERROR(
                                    INDEX([1]ｾﾚﾓﾆｰ商品ship!B:B,MATCH(A204,[1]ｾﾚﾓﾆｰ商品ship!A:A,0)),
                                    INDEX([2]NV!D:D,MATCH(A204,[2]NV!C:C,0))
                                )
                            )
                        )
                    )
                )
            )
        )
    )
)</f>
        <v>Ｌ－２１Ｋ　ツーウェイ　ランタン</v>
      </c>
      <c r="C204" s="4" t="s">
        <v>11</v>
      </c>
      <c r="D204" s="10" t="str">
        <f t="shared" si="9"/>
        <v>Ｌ－２１Ｋ　ツーウェイ　ランタン ｜ 1F釣具部屋【04】 ｜ A</v>
      </c>
      <c r="E204" s="11" t="str">
        <f t="shared" si="10"/>
        <v>1F釣具部屋</v>
      </c>
      <c r="F204" s="12" t="s">
        <v>21</v>
      </c>
      <c r="G204" s="11" t="str">
        <f t="shared" si="11"/>
        <v>04・1F釣具部屋A</v>
      </c>
      <c r="H204" s="3"/>
    </row>
    <row r="205" spans="1:8" ht="15" customHeight="1" x14ac:dyDescent="0.2">
      <c r="A205" s="10" t="s">
        <v>31</v>
      </c>
      <c r="B205" s="10" t="str">
        <f>IFERROR(
    INDEX([1]FSHIP!B:B,MATCH(A205,[1]FSHIP!A:A,0)),
    IFERROR(
        INDEX([1]釣具商品ship!B:B,MATCH(A205,[1]釣具商品ship!A:A,0)),
        IFERROR(
            INDEX([1]玩具商品ship!B:B,MATCH(A205,[1]玩具商品ship!A:A,0)),
            IFERROR(
                INDEX([1]OEMship!B:B,MATCH(A205,[1]OEMship!A:A,0)),
                IFERROR(
                    INDEX([1]NV6ship!B:B,MATCH(A205,[1]NV6ship!A:A,0)),
                    IFERROR(
                        INDEX([1]NVship!B:B,MATCH(A205,[1]NVship!A:A,0)),
                        IFERROR(
                            INDEX([1]海ship!B:B,MATCH(A205,[1]海ship!A:A,0)),
                            IFERROR(
                                INDEX([1]ｾﾚship!B:B,MATCH(A205,[1]ｾﾚship!A:A,0)),
                                IFERROR(
                                    INDEX([1]ｾﾚﾓﾆｰ商品ship!B:B,MATCH(A205,[1]ｾﾚﾓﾆｰ商品ship!A:A,0)),
                                    INDEX([2]NV!D:D,MATCH(A205,[2]NV!C:C,0))
                                )
                            )
                        )
                    )
                )
            )
        )
    )
)</f>
        <v>Ｌ－２１Ｗ　ツーウェイ　ランタン　白</v>
      </c>
      <c r="C205" s="4" t="s">
        <v>11</v>
      </c>
      <c r="D205" s="10" t="str">
        <f t="shared" si="9"/>
        <v>Ｌ－２１Ｗ　ツーウェイ　ランタン　白 ｜ 1F釣具部屋【04】 ｜ A</v>
      </c>
      <c r="E205" s="11" t="str">
        <f t="shared" si="10"/>
        <v>1F釣具部屋</v>
      </c>
      <c r="F205" s="12" t="s">
        <v>21</v>
      </c>
      <c r="G205" s="11" t="str">
        <f t="shared" si="11"/>
        <v>04・1F釣具部屋A</v>
      </c>
      <c r="H205" s="3"/>
    </row>
    <row r="206" spans="1:8" ht="15" customHeight="1" x14ac:dyDescent="0.2">
      <c r="A206" s="10" t="s">
        <v>108</v>
      </c>
      <c r="B206" s="10" t="str">
        <f>IFERROR(
    INDEX([1]FSHIP!B:B,MATCH(A206,[1]FSHIP!A:A,0)),
    IFERROR(
        INDEX([1]釣具商品ship!B:B,MATCH(A206,[1]釣具商品ship!A:A,0)),
        IFERROR(
            INDEX([1]玩具商品ship!B:B,MATCH(A206,[1]玩具商品ship!A:A,0)),
            IFERROR(
                INDEX([1]OEMship!B:B,MATCH(A206,[1]OEMship!A:A,0)),
                IFERROR(
                    INDEX([1]NV6ship!B:B,MATCH(A206,[1]NV6ship!A:A,0)),
                    IFERROR(
                        INDEX([1]NVship!B:B,MATCH(A206,[1]NVship!A:A,0)),
                        IFERROR(
                            INDEX([1]海ship!B:B,MATCH(A206,[1]海ship!A:A,0)),
                            IFERROR(
                                INDEX([1]ｾﾚship!B:B,MATCH(A206,[1]ｾﾚship!A:A,0)),
                                IFERROR(
                                    INDEX([1]ｾﾚﾓﾆｰ商品ship!B:B,MATCH(A206,[1]ｾﾚﾓﾆｰ商品ship!A:A,0)),
                                    INDEX([2]NV!D:D,MATCH(A206,[2]NV!C:C,0))
                                )
                            )
                        )
                    )
                )
            )
        )
    )
)</f>
        <v>LR44（4個セット）</v>
      </c>
      <c r="C206" s="4" t="s">
        <v>5</v>
      </c>
      <c r="D206" s="10" t="str">
        <f t="shared" si="9"/>
        <v>LR44（4個セット） ｜ 1F釣具部屋【04】 ｜ D</v>
      </c>
      <c r="E206" s="11" t="str">
        <f t="shared" si="10"/>
        <v>1F釣具部屋</v>
      </c>
      <c r="F206" s="12" t="s">
        <v>21</v>
      </c>
      <c r="G206" s="11" t="str">
        <f t="shared" si="11"/>
        <v>04・1F釣具部屋D</v>
      </c>
      <c r="H206" s="3"/>
    </row>
    <row r="207" spans="1:8" ht="15" customHeight="1" x14ac:dyDescent="0.2">
      <c r="A207" s="10" t="s">
        <v>162</v>
      </c>
      <c r="B207" s="10" t="str">
        <f>IFERROR(
    INDEX([1]FSHIP!B:B,MATCH(A207,[1]FSHIP!A:A,0)),
    IFERROR(
        INDEX([1]釣具商品ship!B:B,MATCH(A207,[1]釣具商品ship!A:A,0)),
        IFERROR(
            INDEX([1]玩具商品ship!B:B,MATCH(A207,[1]玩具商品ship!A:A,0)),
            IFERROR(
                INDEX([1]OEMship!B:B,MATCH(A207,[1]OEMship!A:A,0)),
                IFERROR(
                    INDEX([1]NV6ship!B:B,MATCH(A207,[1]NV6ship!A:A,0)),
                    IFERROR(
                        INDEX([1]NVship!B:B,MATCH(A207,[1]NVship!A:A,0)),
                        IFERROR(
                            INDEX([1]海ship!B:B,MATCH(A207,[1]海ship!A:A,0)),
                            IFERROR(
                                INDEX([1]ｾﾚship!B:B,MATCH(A207,[1]ｾﾚship!A:A,0)),
                                IFERROR(
                                    INDEX([1]ｾﾚﾓﾆｰ商品ship!B:B,MATCH(A207,[1]ｾﾚﾓﾆｰ商品ship!A:A,0)),
                                    INDEX([2]NV!D:D,MATCH(A207,[2]NV!C:C,0))
                                )
                            )
                        )
                    )
                )
            )
        )
    )
)</f>
        <v>Xtrada X8 ﾏﾙﾁﾗｲﾄ</v>
      </c>
      <c r="C207" s="4" t="s">
        <v>3</v>
      </c>
      <c r="D207" s="10" t="str">
        <f t="shared" si="9"/>
        <v>Xtrada X8 ﾏﾙﾁﾗｲﾄ ｜ 1F釣具部屋【04】 ｜ E</v>
      </c>
      <c r="E207" s="11" t="str">
        <f t="shared" si="10"/>
        <v>1F釣具部屋</v>
      </c>
      <c r="F207" s="12" t="s">
        <v>21</v>
      </c>
      <c r="G207" s="11" t="str">
        <f t="shared" si="11"/>
        <v>04・1F釣具部屋E</v>
      </c>
      <c r="H207" s="3"/>
    </row>
    <row r="208" spans="1:8" ht="15" customHeight="1" x14ac:dyDescent="0.2">
      <c r="A208" s="10" t="s">
        <v>216</v>
      </c>
      <c r="B208" s="10" t="str">
        <f>IFERROR(
    INDEX([1]FSHIP!B:B,MATCH(A208,[1]FSHIP!A:A,0)),
    IFERROR(
        INDEX([1]釣具商品ship!B:B,MATCH(A208,[1]釣具商品ship!A:A,0)),
        IFERROR(
            INDEX([1]玩具商品ship!B:B,MATCH(A208,[1]玩具商品ship!A:A,0)),
            IFERROR(
                INDEX([1]OEMship!B:B,MATCH(A208,[1]OEMship!A:A,0)),
                IFERROR(
                    INDEX([1]NV6ship!B:B,MATCH(A208,[1]NV6ship!A:A,0)),
                    IFERROR(
                        INDEX([1]NVship!B:B,MATCH(A208,[1]NVship!A:A,0)),
                        IFERROR(
                            INDEX([1]海ship!B:B,MATCH(A208,[1]海ship!A:A,0)),
                            IFERROR(
                                INDEX([1]ｾﾚship!B:B,MATCH(A208,[1]ｾﾚship!A:A,0)),
                                IFERROR(
                                    INDEX([1]ｾﾚﾓﾆｰ商品ship!B:B,MATCH(A208,[1]ｾﾚﾓﾆｰ商品ship!A:A,0)),
                                    INDEX([2]NV!D:D,MATCH(A208,[2]NV!C:C,0))
                                )
                            )
                        )
                    )
                )
            )
        )
    )
)</f>
        <v>チャップオンななめⅡ ０(ｾﾞﾛ) ｸﾞﾘｰﾝ</v>
      </c>
      <c r="C208" s="4" t="s">
        <v>8</v>
      </c>
      <c r="D208" s="10" t="str">
        <f t="shared" si="9"/>
        <v>チャップオンななめⅡ ０(ｾﾞﾛ) ｸﾞﾘｰﾝ ｜ 1F釣具部屋【04】 ｜ I</v>
      </c>
      <c r="E208" s="11" t="str">
        <f t="shared" si="10"/>
        <v>1F釣具部屋</v>
      </c>
      <c r="F208" s="12" t="s">
        <v>21</v>
      </c>
      <c r="G208" s="11" t="str">
        <f t="shared" si="11"/>
        <v>04・1F釣具部屋I</v>
      </c>
      <c r="H208" s="3"/>
    </row>
    <row r="209" spans="1:8" ht="15" customHeight="1" x14ac:dyDescent="0.2">
      <c r="A209" s="10" t="s">
        <v>215</v>
      </c>
      <c r="B209" s="10" t="str">
        <f>IFERROR(
    INDEX([1]FSHIP!B:B,MATCH(A209,[1]FSHIP!A:A,0)),
    IFERROR(
        INDEX([1]釣具商品ship!B:B,MATCH(A209,[1]釣具商品ship!A:A,0)),
        IFERROR(
            INDEX([1]玩具商品ship!B:B,MATCH(A209,[1]玩具商品ship!A:A,0)),
            IFERROR(
                INDEX([1]OEMship!B:B,MATCH(A209,[1]OEMship!A:A,0)),
                IFERROR(
                    INDEX([1]NV6ship!B:B,MATCH(A209,[1]NV6ship!A:A,0)),
                    IFERROR(
                        INDEX([1]NVship!B:B,MATCH(A209,[1]NVship!A:A,0)),
                        IFERROR(
                            INDEX([1]海ship!B:B,MATCH(A209,[1]海ship!A:A,0)),
                            IFERROR(
                                INDEX([1]ｾﾚship!B:B,MATCH(A209,[1]ｾﾚship!A:A,0)),
                                IFERROR(
                                    INDEX([1]ｾﾚﾓﾆｰ商品ship!B:B,MATCH(A209,[1]ｾﾚﾓﾆｰ商品ship!A:A,0)),
                                    INDEX([2]NV!D:D,MATCH(A209,[2]NV!C:C,0))
                                )
                            )
                        )
                    )
                )
            )
        )
    )
)</f>
        <v>チャップオンななめⅡ ０(ｾﾞﾛ) ﾋﾟﾝｸ</v>
      </c>
      <c r="C209" s="4" t="s">
        <v>8</v>
      </c>
      <c r="D209" s="10" t="str">
        <f t="shared" si="9"/>
        <v>チャップオンななめⅡ ０(ｾﾞﾛ) ﾋﾟﾝｸ ｜ 1F釣具部屋【04】 ｜ I</v>
      </c>
      <c r="E209" s="11" t="str">
        <f t="shared" si="10"/>
        <v>1F釣具部屋</v>
      </c>
      <c r="F209" s="12" t="s">
        <v>21</v>
      </c>
      <c r="G209" s="11" t="str">
        <f t="shared" si="11"/>
        <v>04・1F釣具部屋I</v>
      </c>
      <c r="H209" s="3"/>
    </row>
    <row r="210" spans="1:8" ht="15" customHeight="1" x14ac:dyDescent="0.2">
      <c r="A210" s="10" t="s">
        <v>217</v>
      </c>
      <c r="B210" s="10" t="str">
        <f>IFERROR(
    INDEX([1]FSHIP!B:B,MATCH(A210,[1]FSHIP!A:A,0)),
    IFERROR(
        INDEX([1]釣具商品ship!B:B,MATCH(A210,[1]釣具商品ship!A:A,0)),
        IFERROR(
            INDEX([1]玩具商品ship!B:B,MATCH(A210,[1]玩具商品ship!A:A,0)),
            IFERROR(
                INDEX([1]OEMship!B:B,MATCH(A210,[1]OEMship!A:A,0)),
                IFERROR(
                    INDEX([1]NV6ship!B:B,MATCH(A210,[1]NV6ship!A:A,0)),
                    IFERROR(
                        INDEX([1]NVship!B:B,MATCH(A210,[1]NVship!A:A,0)),
                        IFERROR(
                            INDEX([1]海ship!B:B,MATCH(A210,[1]海ship!A:A,0)),
                            IFERROR(
                                INDEX([1]ｾﾚship!B:B,MATCH(A210,[1]ｾﾚship!A:A,0)),
                                IFERROR(
                                    INDEX([1]ｾﾚﾓﾆｰ商品ship!B:B,MATCH(A210,[1]ｾﾚﾓﾆｰ商品ship!A:A,0)),
                                    INDEX([2]NV!D:D,MATCH(A210,[2]NV!C:C,0))
                                )
                            )
                        )
                    )
                )
            )
        )
    )
)</f>
        <v>チャップオンななめⅡ Ｂ ｸﾞﾘｰﾝ</v>
      </c>
      <c r="C210" s="4" t="s">
        <v>8</v>
      </c>
      <c r="D210" s="10" t="str">
        <f t="shared" si="9"/>
        <v>チャップオンななめⅡ Ｂ ｸﾞﾘｰﾝ ｜ 1F釣具部屋【04】 ｜ I</v>
      </c>
      <c r="E210" s="11" t="str">
        <f t="shared" si="10"/>
        <v>1F釣具部屋</v>
      </c>
      <c r="F210" s="12" t="s">
        <v>21</v>
      </c>
      <c r="G210" s="11" t="str">
        <f t="shared" si="11"/>
        <v>04・1F釣具部屋I</v>
      </c>
      <c r="H210" s="3"/>
    </row>
    <row r="211" spans="1:8" ht="15" customHeight="1" x14ac:dyDescent="0.2">
      <c r="A211" s="10" t="s">
        <v>214</v>
      </c>
      <c r="B211" s="10" t="str">
        <f>IFERROR(
    INDEX([1]FSHIP!B:B,MATCH(A211,[1]FSHIP!A:A,0)),
    IFERROR(
        INDEX([1]釣具商品ship!B:B,MATCH(A211,[1]釣具商品ship!A:A,0)),
        IFERROR(
            INDEX([1]玩具商品ship!B:B,MATCH(A211,[1]玩具商品ship!A:A,0)),
            IFERROR(
                INDEX([1]OEMship!B:B,MATCH(A211,[1]OEMship!A:A,0)),
                IFERROR(
                    INDEX([1]NV6ship!B:B,MATCH(A211,[1]NV6ship!A:A,0)),
                    IFERROR(
                        INDEX([1]NVship!B:B,MATCH(A211,[1]NVship!A:A,0)),
                        IFERROR(
                            INDEX([1]海ship!B:B,MATCH(A211,[1]海ship!A:A,0)),
                            IFERROR(
                                INDEX([1]ｾﾚship!B:B,MATCH(A211,[1]ｾﾚship!A:A,0)),
                                IFERROR(
                                    INDEX([1]ｾﾚﾓﾆｰ商品ship!B:B,MATCH(A211,[1]ｾﾚﾓﾆｰ商品ship!A:A,0)),
                                    INDEX([2]NV!D:D,MATCH(A211,[2]NV!C:C,0))
                                )
                            )
                        )
                    )
                )
            )
        )
    )
)</f>
        <v>チャップオンななめⅡ Ｂ ﾋﾟﾝｸ</v>
      </c>
      <c r="C211" s="4" t="s">
        <v>8</v>
      </c>
      <c r="D211" s="10" t="str">
        <f t="shared" si="9"/>
        <v>チャップオンななめⅡ Ｂ ﾋﾟﾝｸ ｜ 1F釣具部屋【04】 ｜ I</v>
      </c>
      <c r="E211" s="11" t="str">
        <f t="shared" si="10"/>
        <v>1F釣具部屋</v>
      </c>
      <c r="F211" s="12" t="s">
        <v>21</v>
      </c>
      <c r="G211" s="11" t="str">
        <f t="shared" si="11"/>
        <v>04・1F釣具部屋I</v>
      </c>
      <c r="H211" s="3"/>
    </row>
    <row r="212" spans="1:8" ht="15" customHeight="1" x14ac:dyDescent="0.2">
      <c r="A212" s="10" t="s">
        <v>212</v>
      </c>
      <c r="B212" s="10" t="str">
        <f>IFERROR(
    INDEX([1]FSHIP!B:B,MATCH(A212,[1]FSHIP!A:A,0)),
    IFERROR(
        INDEX([1]釣具商品ship!B:B,MATCH(A212,[1]釣具商品ship!A:A,0)),
        IFERROR(
            INDEX([1]玩具商品ship!B:B,MATCH(A212,[1]玩具商品ship!A:A,0)),
            IFERROR(
                INDEX([1]OEMship!B:B,MATCH(A212,[1]OEMship!A:A,0)),
                IFERROR(
                    INDEX([1]NV6ship!B:B,MATCH(A212,[1]NV6ship!A:A,0)),
                    IFERROR(
                        INDEX([1]NVship!B:B,MATCH(A212,[1]NVship!A:A,0)),
                        IFERROR(
                            INDEX([1]海ship!B:B,MATCH(A212,[1]海ship!A:A,0)),
                            IFERROR(
                                INDEX([1]ｾﾚship!B:B,MATCH(A212,[1]ｾﾚship!A:A,0)),
                                IFERROR(
                                    INDEX([1]ｾﾚﾓﾆｰ商品ship!B:B,MATCH(A212,[1]ｾﾚﾓﾆｰ商品ship!A:A,0)),
                                    INDEX([2]NV!D:D,MATCH(A212,[2]NV!C:C,0))
                                )
                            )
                        )
                    )
                )
            )
        )
    )
)</f>
        <v>チャップオンななめⅡ ３Ｂ ｸﾞﾘｰﾝ</v>
      </c>
      <c r="C212" s="4" t="s">
        <v>8</v>
      </c>
      <c r="D212" s="10" t="str">
        <f t="shared" si="9"/>
        <v>チャップオンななめⅡ ３Ｂ ｸﾞﾘｰﾝ ｜ 1F釣具部屋【04】 ｜ I</v>
      </c>
      <c r="E212" s="11" t="str">
        <f t="shared" si="10"/>
        <v>1F釣具部屋</v>
      </c>
      <c r="F212" s="12" t="s">
        <v>21</v>
      </c>
      <c r="G212" s="11" t="str">
        <f t="shared" si="11"/>
        <v>04・1F釣具部屋I</v>
      </c>
      <c r="H212" s="3"/>
    </row>
    <row r="213" spans="1:8" ht="15" customHeight="1" x14ac:dyDescent="0.2">
      <c r="A213" s="10" t="s">
        <v>213</v>
      </c>
      <c r="B213" s="10" t="str">
        <f>IFERROR(
    INDEX([1]FSHIP!B:B,MATCH(A213,[1]FSHIP!A:A,0)),
    IFERROR(
        INDEX([1]釣具商品ship!B:B,MATCH(A213,[1]釣具商品ship!A:A,0)),
        IFERROR(
            INDEX([1]玩具商品ship!B:B,MATCH(A213,[1]玩具商品ship!A:A,0)),
            IFERROR(
                INDEX([1]OEMship!B:B,MATCH(A213,[1]OEMship!A:A,0)),
                IFERROR(
                    INDEX([1]NV6ship!B:B,MATCH(A213,[1]NV6ship!A:A,0)),
                    IFERROR(
                        INDEX([1]NVship!B:B,MATCH(A213,[1]NVship!A:A,0)),
                        IFERROR(
                            INDEX([1]海ship!B:B,MATCH(A213,[1]海ship!A:A,0)),
                            IFERROR(
                                INDEX([1]ｾﾚship!B:B,MATCH(A213,[1]ｾﾚship!A:A,0)),
                                IFERROR(
                                    INDEX([1]ｾﾚﾓﾆｰ商品ship!B:B,MATCH(A213,[1]ｾﾚﾓﾆｰ商品ship!A:A,0)),
                                    INDEX([2]NV!D:D,MATCH(A213,[2]NV!C:C,0))
                                )
                            )
                        )
                    )
                )
            )
        )
    )
)</f>
        <v>チャップオンななめⅡ ３Ｂ ﾋﾟﾝｸ</v>
      </c>
      <c r="C213" s="4" t="s">
        <v>8</v>
      </c>
      <c r="D213" s="10" t="str">
        <f t="shared" si="9"/>
        <v>チャップオンななめⅡ ３Ｂ ﾋﾟﾝｸ ｜ 1F釣具部屋【04】 ｜ I</v>
      </c>
      <c r="E213" s="11" t="str">
        <f t="shared" si="10"/>
        <v>1F釣具部屋</v>
      </c>
      <c r="F213" s="12" t="s">
        <v>21</v>
      </c>
      <c r="G213" s="11" t="str">
        <f t="shared" si="11"/>
        <v>04・1F釣具部屋I</v>
      </c>
      <c r="H213" s="3"/>
    </row>
    <row r="214" spans="1:8" ht="15" customHeight="1" x14ac:dyDescent="0.2">
      <c r="A214" s="10" t="s">
        <v>209</v>
      </c>
      <c r="B214" s="10" t="str">
        <f>IFERROR(
    INDEX([1]FSHIP!B:B,MATCH(A214,[1]FSHIP!A:A,0)),
    IFERROR(
        INDEX([1]釣具商品ship!B:B,MATCH(A214,[1]釣具商品ship!A:A,0)),
        IFERROR(
            INDEX([1]玩具商品ship!B:B,MATCH(A214,[1]玩具商品ship!A:A,0)),
            IFERROR(
                INDEX([1]OEMship!B:B,MATCH(A214,[1]OEMship!A:A,0)),
                IFERROR(
                    INDEX([1]NV6ship!B:B,MATCH(A214,[1]NV6ship!A:A,0)),
                    IFERROR(
                        INDEX([1]NVship!B:B,MATCH(A214,[1]NVship!A:A,0)),
                        IFERROR(
                            INDEX([1]海ship!B:B,MATCH(A214,[1]海ship!A:A,0)),
                            IFERROR(
                                INDEX([1]ｾﾚship!B:B,MATCH(A214,[1]ｾﾚship!A:A,0)),
                                IFERROR(
                                    INDEX([1]ｾﾚﾓﾆｰ商品ship!B:B,MATCH(A214,[1]ｾﾚﾓﾆｰ商品ship!A:A,0)),
                                    INDEX([2]NV!D:D,MATCH(A214,[2]NV!C:C,0))
                                )
                            )
                        )
                    )
                )
            )
        )
    )
)</f>
        <v>ﾁｬｯﾌﾟ ｵﾝ 0.5号 ﾚｯﾄﾞ</v>
      </c>
      <c r="C214" s="4" t="s">
        <v>8</v>
      </c>
      <c r="D214" s="10" t="str">
        <f t="shared" si="9"/>
        <v>ﾁｬｯﾌﾟ ｵﾝ 0.5号 ﾚｯﾄﾞ ｜ 1F釣具部屋【04】 ｜ I</v>
      </c>
      <c r="E214" s="11" t="str">
        <f t="shared" si="10"/>
        <v>1F釣具部屋</v>
      </c>
      <c r="F214" s="12" t="s">
        <v>21</v>
      </c>
      <c r="G214" s="11" t="str">
        <f t="shared" si="11"/>
        <v>04・1F釣具部屋I</v>
      </c>
      <c r="H214" s="3"/>
    </row>
    <row r="215" spans="1:8" ht="15" customHeight="1" x14ac:dyDescent="0.2">
      <c r="A215" s="10" t="s">
        <v>211</v>
      </c>
      <c r="B215" s="10" t="str">
        <f>IFERROR(
    INDEX([1]FSHIP!B:B,MATCH(A215,[1]FSHIP!A:A,0)),
    IFERROR(
        INDEX([1]釣具商品ship!B:B,MATCH(A215,[1]釣具商品ship!A:A,0)),
        IFERROR(
            INDEX([1]玩具商品ship!B:B,MATCH(A215,[1]玩具商品ship!A:A,0)),
            IFERROR(
                INDEX([1]OEMship!B:B,MATCH(A215,[1]OEMship!A:A,0)),
                IFERROR(
                    INDEX([1]NV6ship!B:B,MATCH(A215,[1]NV6ship!A:A,0)),
                    IFERROR(
                        INDEX([1]NVship!B:B,MATCH(A215,[1]NVship!A:A,0)),
                        IFERROR(
                            INDEX([1]海ship!B:B,MATCH(A215,[1]海ship!A:A,0)),
                            IFERROR(
                                INDEX([1]ｾﾚship!B:B,MATCH(A215,[1]ｾﾚship!A:A,0)),
                                IFERROR(
                                    INDEX([1]ｾﾚﾓﾆｰ商品ship!B:B,MATCH(A215,[1]ｾﾚﾓﾆｰ商品ship!A:A,0)),
                                    INDEX([2]NV!D:D,MATCH(A215,[2]NV!C:C,0))
                                )
                            )
                        )
                    )
                )
            )
        )
    )
)</f>
        <v>ﾁｬｯﾌﾟ ｵﾝ 1号 ﾚｯﾄﾞ</v>
      </c>
      <c r="C215" s="4" t="s">
        <v>8</v>
      </c>
      <c r="D215" s="10" t="str">
        <f t="shared" si="9"/>
        <v>ﾁｬｯﾌﾟ ｵﾝ 1号 ﾚｯﾄﾞ ｜ 1F釣具部屋【04】 ｜ I</v>
      </c>
      <c r="E215" s="11" t="str">
        <f t="shared" si="10"/>
        <v>1F釣具部屋</v>
      </c>
      <c r="F215" s="12" t="s">
        <v>21</v>
      </c>
      <c r="G215" s="11" t="str">
        <f t="shared" si="11"/>
        <v>04・1F釣具部屋I</v>
      </c>
      <c r="H215" s="3"/>
    </row>
    <row r="216" spans="1:8" ht="15" customHeight="1" x14ac:dyDescent="0.2">
      <c r="A216" s="10" t="s">
        <v>210</v>
      </c>
      <c r="B216" s="10" t="str">
        <f>IFERROR(
    INDEX([1]FSHIP!B:B,MATCH(A216,[1]FSHIP!A:A,0)),
    IFERROR(
        INDEX([1]釣具商品ship!B:B,MATCH(A216,[1]釣具商品ship!A:A,0)),
        IFERROR(
            INDEX([1]玩具商品ship!B:B,MATCH(A216,[1]玩具商品ship!A:A,0)),
            IFERROR(
                INDEX([1]OEMship!B:B,MATCH(A216,[1]OEMship!A:A,0)),
                IFERROR(
                    INDEX([1]NV6ship!B:B,MATCH(A216,[1]NV6ship!A:A,0)),
                    IFERROR(
                        INDEX([1]NVship!B:B,MATCH(A216,[1]NVship!A:A,0)),
                        IFERROR(
                            INDEX([1]海ship!B:B,MATCH(A216,[1]海ship!A:A,0)),
                            IFERROR(
                                INDEX([1]ｾﾚship!B:B,MATCH(A216,[1]ｾﾚship!A:A,0)),
                                IFERROR(
                                    INDEX([1]ｾﾚﾓﾆｰ商品ship!B:B,MATCH(A216,[1]ｾﾚﾓﾆｰ商品ship!A:A,0)),
                                    INDEX([2]NV!D:D,MATCH(A216,[2]NV!C:C,0))
                                )
                            )
                        )
                    )
                )
            )
        )
    )
)</f>
        <v>ﾁｬｯﾌﾟ ｵﾝ 1号 ｸﾞﾘｰﾝ</v>
      </c>
      <c r="C216" s="4" t="s">
        <v>8</v>
      </c>
      <c r="D216" s="10" t="str">
        <f t="shared" si="9"/>
        <v>ﾁｬｯﾌﾟ ｵﾝ 1号 ｸﾞﾘｰﾝ ｜ 1F釣具部屋【04】 ｜ I</v>
      </c>
      <c r="E216" s="11" t="str">
        <f t="shared" si="10"/>
        <v>1F釣具部屋</v>
      </c>
      <c r="F216" s="12" t="s">
        <v>21</v>
      </c>
      <c r="G216" s="11" t="str">
        <f t="shared" si="11"/>
        <v>04・1F釣具部屋I</v>
      </c>
      <c r="H216" s="3"/>
    </row>
    <row r="217" spans="1:8" ht="15" customHeight="1" x14ac:dyDescent="0.2">
      <c r="A217" s="10" t="s">
        <v>297</v>
      </c>
      <c r="B217" s="10" t="str">
        <f>IFERROR(
    INDEX([1]FSHIP!B:B,MATCH(A217,[1]FSHIP!A:A,0)),
    IFERROR(
        INDEX([1]釣具商品ship!B:B,MATCH(A217,[1]釣具商品ship!A:A,0)),
        IFERROR(
            INDEX([1]玩具商品ship!B:B,MATCH(A217,[1]玩具商品ship!A:A,0)),
            IFERROR(
                INDEX([1]OEMship!B:B,MATCH(A217,[1]OEMship!A:A,0)),
                IFERROR(
                    INDEX([1]NV6ship!B:B,MATCH(A217,[1]NV6ship!A:A,0)),
                    IFERROR(
                        INDEX([1]NVship!B:B,MATCH(A217,[1]NVship!A:A,0)),
                        IFERROR(
                            INDEX([1]海ship!B:B,MATCH(A217,[1]海ship!A:A,0)),
                            IFERROR(
                                INDEX([1]ｾﾚship!B:B,MATCH(A217,[1]ｾﾚship!A:A,0)),
                                IFERROR(
                                    INDEX([1]ｾﾚﾓﾆｰ商品ship!B:B,MATCH(A217,[1]ｾﾚﾓﾆｰ商品ship!A:A,0)),
                                    INDEX([2]NV!D:D,MATCH(A217,[2]NV!C:C,0))
                                )
                            )
                        )
                    )
                )
            )
        )
    )
)</f>
        <v>堤防五目ｳｷ釣りｾｯﾄ 2号 ｸﾞﾘｰﾝ</v>
      </c>
      <c r="C217" s="4" t="s">
        <v>1</v>
      </c>
      <c r="D217" s="10" t="str">
        <f t="shared" si="9"/>
        <v>堤防五目ｳｷ釣りｾｯﾄ 2号 ｸﾞﾘｰﾝ ｜ 1F釣具部屋【04】 ｜ L</v>
      </c>
      <c r="E217" s="11" t="str">
        <f t="shared" si="10"/>
        <v>1F釣具部屋</v>
      </c>
      <c r="F217" s="12" t="s">
        <v>21</v>
      </c>
      <c r="G217" s="11" t="str">
        <f t="shared" si="11"/>
        <v>04・1F釣具部屋L</v>
      </c>
      <c r="H217" s="3"/>
    </row>
    <row r="218" spans="1:8" ht="15" customHeight="1" x14ac:dyDescent="0.2">
      <c r="A218" s="10" t="s">
        <v>298</v>
      </c>
      <c r="B218" s="10" t="str">
        <f>IFERROR(
    INDEX([1]FSHIP!B:B,MATCH(A218,[1]FSHIP!A:A,0)),
    IFERROR(
        INDEX([1]釣具商品ship!B:B,MATCH(A218,[1]釣具商品ship!A:A,0)),
        IFERROR(
            INDEX([1]玩具商品ship!B:B,MATCH(A218,[1]玩具商品ship!A:A,0)),
            IFERROR(
                INDEX([1]OEMship!B:B,MATCH(A218,[1]OEMship!A:A,0)),
                IFERROR(
                    INDEX([1]NV6ship!B:B,MATCH(A218,[1]NV6ship!A:A,0)),
                    IFERROR(
                        INDEX([1]NVship!B:B,MATCH(A218,[1]NVship!A:A,0)),
                        IFERROR(
                            INDEX([1]海ship!B:B,MATCH(A218,[1]海ship!A:A,0)),
                            IFERROR(
                                INDEX([1]ｾﾚship!B:B,MATCH(A218,[1]ｾﾚship!A:A,0)),
                                IFERROR(
                                    INDEX([1]ｾﾚﾓﾆｰ商品ship!B:B,MATCH(A218,[1]ｾﾚﾓﾆｰ商品ship!A:A,0)),
                                    INDEX([2]NV!D:D,MATCH(A218,[2]NV!C:C,0))
                                )
                            )
                        )
                    )
                )
            )
        )
    )
)</f>
        <v>堤防五目ｳｷ釣りｾｯﾄ 2号 ﾚｯﾄﾞ</v>
      </c>
      <c r="C218" s="4" t="s">
        <v>1</v>
      </c>
      <c r="D218" s="10" t="str">
        <f t="shared" si="9"/>
        <v>堤防五目ｳｷ釣りｾｯﾄ 2号 ﾚｯﾄﾞ ｜ 1F釣具部屋【04】 ｜ L</v>
      </c>
      <c r="E218" s="11" t="str">
        <f t="shared" si="10"/>
        <v>1F釣具部屋</v>
      </c>
      <c r="F218" s="12" t="s">
        <v>21</v>
      </c>
      <c r="G218" s="11" t="str">
        <f t="shared" si="11"/>
        <v>04・1F釣具部屋L</v>
      </c>
      <c r="H218" s="3"/>
    </row>
    <row r="219" spans="1:8" ht="15" customHeight="1" x14ac:dyDescent="0.2">
      <c r="A219" s="10" t="s">
        <v>296</v>
      </c>
      <c r="B219" s="10" t="str">
        <f>IFERROR(
    INDEX([1]FSHIP!B:B,MATCH(A219,[1]FSHIP!A:A,0)),
    IFERROR(
        INDEX([1]釣具商品ship!B:B,MATCH(A219,[1]釣具商品ship!A:A,0)),
        IFERROR(
            INDEX([1]玩具商品ship!B:B,MATCH(A219,[1]玩具商品ship!A:A,0)),
            IFERROR(
                INDEX([1]OEMship!B:B,MATCH(A219,[1]OEMship!A:A,0)),
                IFERROR(
                    INDEX([1]NV6ship!B:B,MATCH(A219,[1]NV6ship!A:A,0)),
                    IFERROR(
                        INDEX([1]NVship!B:B,MATCH(A219,[1]NVship!A:A,0)),
                        IFERROR(
                            INDEX([1]海ship!B:B,MATCH(A219,[1]海ship!A:A,0)),
                            IFERROR(
                                INDEX([1]ｾﾚship!B:B,MATCH(A219,[1]ｾﾚship!A:A,0)),
                                IFERROR(
                                    INDEX([1]ｾﾚﾓﾆｰ商品ship!B:B,MATCH(A219,[1]ｾﾚﾓﾆｰ商品ship!A:A,0)),
                                    INDEX([2]NV!D:D,MATCH(A219,[2]NV!C:C,0))
                                )
                            )
                        )
                    )
                )
            )
        )
    )
)</f>
        <v>堤防五目ｳｷ釣りｾｯﾄ 3号 ﾚｯﾄﾞ</v>
      </c>
      <c r="C219" s="4" t="s">
        <v>1</v>
      </c>
      <c r="D219" s="10" t="str">
        <f t="shared" si="9"/>
        <v>堤防五目ｳｷ釣りｾｯﾄ 3号 ﾚｯﾄﾞ ｜ 1F釣具部屋【04】 ｜ L</v>
      </c>
      <c r="E219" s="11" t="str">
        <f t="shared" si="10"/>
        <v>1F釣具部屋</v>
      </c>
      <c r="F219" s="12" t="s">
        <v>21</v>
      </c>
      <c r="G219" s="11" t="str">
        <f t="shared" si="11"/>
        <v>04・1F釣具部屋L</v>
      </c>
      <c r="H219" s="3"/>
    </row>
    <row r="220" spans="1:8" ht="15" customHeight="1" x14ac:dyDescent="0.2">
      <c r="A220" s="10" t="s">
        <v>299</v>
      </c>
      <c r="B220" s="10" t="str">
        <f>IFERROR(
    INDEX([1]FSHIP!B:B,MATCH(A220,[1]FSHIP!A:A,0)),
    IFERROR(
        INDEX([1]釣具商品ship!B:B,MATCH(A220,[1]釣具商品ship!A:A,0)),
        IFERROR(
            INDEX([1]玩具商品ship!B:B,MATCH(A220,[1]玩具商品ship!A:A,0)),
            IFERROR(
                INDEX([1]OEMship!B:B,MATCH(A220,[1]OEMship!A:A,0)),
                IFERROR(
                    INDEX([1]NV6ship!B:B,MATCH(A220,[1]NV6ship!A:A,0)),
                    IFERROR(
                        INDEX([1]NVship!B:B,MATCH(A220,[1]NVship!A:A,0)),
                        IFERROR(
                            INDEX([1]海ship!B:B,MATCH(A220,[1]海ship!A:A,0)),
                            IFERROR(
                                INDEX([1]ｾﾚship!B:B,MATCH(A220,[1]ｾﾚship!A:A,0)),
                                IFERROR(
                                    INDEX([1]ｾﾚﾓﾆｰ商品ship!B:B,MATCH(A220,[1]ｾﾚﾓﾆｰ商品ship!A:A,0)),
                                    INDEX([2]NV!D:D,MATCH(A220,[2]NV!C:C,0))
                                )
                            )
                        )
                    )
                )
            )
        )
    )
)</f>
        <v>堤防五目ｳｷ釣りｾｯﾄ 5号 ﾚｯﾄﾞ</v>
      </c>
      <c r="C220" s="4" t="s">
        <v>1</v>
      </c>
      <c r="D220" s="10" t="str">
        <f t="shared" si="9"/>
        <v>堤防五目ｳｷ釣りｾｯﾄ 5号 ﾚｯﾄﾞ ｜ 1F釣具部屋【04】 ｜ L</v>
      </c>
      <c r="E220" s="11" t="str">
        <f t="shared" si="10"/>
        <v>1F釣具部屋</v>
      </c>
      <c r="F220" s="12" t="s">
        <v>21</v>
      </c>
      <c r="G220" s="11" t="str">
        <f t="shared" si="11"/>
        <v>04・1F釣具部屋L</v>
      </c>
      <c r="H220" s="3"/>
    </row>
    <row r="221" spans="1:8" ht="15" customHeight="1" x14ac:dyDescent="0.2">
      <c r="A221" s="10" t="s">
        <v>252</v>
      </c>
      <c r="B221" s="10" t="str">
        <f>IFERROR(
    INDEX([1]FSHIP!B:B,MATCH(A221,[1]FSHIP!A:A,0)),
    IFERROR(
        INDEX([1]釣具商品ship!B:B,MATCH(A221,[1]釣具商品ship!A:A,0)),
        IFERROR(
            INDEX([1]玩具商品ship!B:B,MATCH(A221,[1]玩具商品ship!A:A,0)),
            IFERROR(
                INDEX([1]OEMship!B:B,MATCH(A221,[1]OEMship!A:A,0)),
                IFERROR(
                    INDEX([1]NV6ship!B:B,MATCH(A221,[1]NV6ship!A:A,0)),
                    IFERROR(
                        INDEX([1]NVship!B:B,MATCH(A221,[1]NVship!A:A,0)),
                        IFERROR(
                            INDEX([1]海ship!B:B,MATCH(A221,[1]海ship!A:A,0)),
                            IFERROR(
                                INDEX([1]ｾﾚship!B:B,MATCH(A221,[1]ｾﾚship!A:A,0)),
                                IFERROR(
                                    INDEX([1]ｾﾚﾓﾆｰ商品ship!B:B,MATCH(A221,[1]ｾﾚﾓﾆｰ商品ship!A:A,0)),
                                    INDEX([2]NV!D:D,MATCH(A221,[2]NV!C:C,0))
                                )
                            )
                        )
                    )
                )
            )
        )
    )
)</f>
        <v>ルミコワンタッチホルダー</v>
      </c>
      <c r="C221" s="4" t="s">
        <v>6</v>
      </c>
      <c r="D221" s="10" t="str">
        <f t="shared" si="9"/>
        <v>ルミコワンタッチホルダー ｜ 1F釣具部屋【04】 ｜ J</v>
      </c>
      <c r="E221" s="11" t="str">
        <f t="shared" si="10"/>
        <v>1F釣具部屋</v>
      </c>
      <c r="F221" s="12" t="s">
        <v>21</v>
      </c>
      <c r="G221" s="11" t="str">
        <f t="shared" si="11"/>
        <v>04・1F釣具部屋J</v>
      </c>
      <c r="H221" s="3"/>
    </row>
    <row r="222" spans="1:8" ht="15" customHeight="1" x14ac:dyDescent="0.2">
      <c r="A222" s="10" t="s">
        <v>283</v>
      </c>
      <c r="B222" s="10" t="str">
        <f>IFERROR(
    INDEX([1]FSHIP!B:B,MATCH(A222,[1]FSHIP!A:A,0)),
    IFERROR(
        INDEX([1]釣具商品ship!B:B,MATCH(A222,[1]釣具商品ship!A:A,0)),
        IFERROR(
            INDEX([1]玩具商品ship!B:B,MATCH(A222,[1]玩具商品ship!A:A,0)),
            IFERROR(
                INDEX([1]OEMship!B:B,MATCH(A222,[1]OEMship!A:A,0)),
                IFERROR(
                    INDEX([1]NV6ship!B:B,MATCH(A222,[1]NV6ship!A:A,0)),
                    IFERROR(
                        INDEX([1]NVship!B:B,MATCH(A222,[1]NVship!A:A,0)),
                        IFERROR(
                            INDEX([1]海ship!B:B,MATCH(A222,[1]海ship!A:A,0)),
                            IFERROR(
                                INDEX([1]ｾﾚship!B:B,MATCH(A222,[1]ｾﾚship!A:A,0)),
                                IFERROR(
                                    INDEX([1]ｾﾚﾓﾆｰ商品ship!B:B,MATCH(A222,[1]ｾﾚﾓﾆｰ商品ship!A:A,0)),
                                    INDEX([2]NV!D:D,MATCH(A222,[2]NV!C:C,0))
                                )
                            )
                        )
                    )
                )
            )
        )
    )
)</f>
        <v>ﾊﾟﾜｰ太刀魚75用 ﾜﾝﾀｯﾁﾎﾙﾀﾞｰ5個ｾｯﾄ</v>
      </c>
      <c r="C222" s="4" t="s">
        <v>4</v>
      </c>
      <c r="D222" s="10" t="str">
        <f t="shared" si="9"/>
        <v>ﾊﾟﾜｰ太刀魚75用 ﾜﾝﾀｯﾁﾎﾙﾀﾞｰ5個ｾｯﾄ ｜ 1F釣具部屋【04】 ｜ K</v>
      </c>
      <c r="E222" s="11" t="str">
        <f t="shared" si="10"/>
        <v>1F釣具部屋</v>
      </c>
      <c r="F222" s="12" t="s">
        <v>21</v>
      </c>
      <c r="G222" s="11" t="str">
        <f t="shared" si="11"/>
        <v>04・1F釣具部屋K</v>
      </c>
      <c r="H222" s="3"/>
    </row>
    <row r="223" spans="1:8" ht="15" customHeight="1" x14ac:dyDescent="0.2">
      <c r="A223" s="10" t="s">
        <v>282</v>
      </c>
      <c r="B223" s="10" t="str">
        <f>IFERROR(
    INDEX([1]FSHIP!B:B,MATCH(A223,[1]FSHIP!A:A,0)),
    IFERROR(
        INDEX([1]釣具商品ship!B:B,MATCH(A223,[1]釣具商品ship!A:A,0)),
        IFERROR(
            INDEX([1]玩具商品ship!B:B,MATCH(A223,[1]玩具商品ship!A:A,0)),
            IFERROR(
                INDEX([1]OEMship!B:B,MATCH(A223,[1]OEMship!A:A,0)),
                IFERROR(
                    INDEX([1]NV6ship!B:B,MATCH(A223,[1]NV6ship!A:A,0)),
                    IFERROR(
                        INDEX([1]NVship!B:B,MATCH(A223,[1]NVship!A:A,0)),
                        IFERROR(
                            INDEX([1]海ship!B:B,MATCH(A223,[1]海ship!A:A,0)),
                            IFERROR(
                                INDEX([1]ｾﾚship!B:B,MATCH(A223,[1]ｾﾚship!A:A,0)),
                                IFERROR(
                                    INDEX([1]ｾﾚﾓﾆｰ商品ship!B:B,MATCH(A223,[1]ｾﾚﾓﾆｰ商品ship!A:A,0)),
                                    INDEX([2]NV!D:D,MATCH(A223,[2]NV!C:C,0))
                                )
                            )
                        )
                    )
                )
            )
        )
    )
)</f>
        <v>ピカピカドンドン７５（本体のみ）</v>
      </c>
      <c r="C223" s="4" t="s">
        <v>4</v>
      </c>
      <c r="D223" s="10" t="str">
        <f t="shared" si="9"/>
        <v>ピカピカドンドン７５（本体のみ） ｜ 1F釣具部屋【04】 ｜ K</v>
      </c>
      <c r="E223" s="11" t="str">
        <f t="shared" si="10"/>
        <v>1F釣具部屋</v>
      </c>
      <c r="F223" s="12" t="s">
        <v>21</v>
      </c>
      <c r="G223" s="11" t="str">
        <f t="shared" si="11"/>
        <v>04・1F釣具部屋K</v>
      </c>
      <c r="H223" s="3"/>
    </row>
    <row r="224" spans="1:8" ht="15" customHeight="1" x14ac:dyDescent="0.2">
      <c r="A224" s="10" t="s">
        <v>300</v>
      </c>
      <c r="B224" s="10" t="str">
        <f>IFERROR(
    INDEX([1]FSHIP!B:B,MATCH(A224,[1]FSHIP!A:A,0)),
    IFERROR(
        INDEX([1]釣具商品ship!B:B,MATCH(A224,[1]釣具商品ship!A:A,0)),
        IFERROR(
            INDEX([1]玩具商品ship!B:B,MATCH(A224,[1]玩具商品ship!A:A,0)),
            IFERROR(
                INDEX([1]OEMship!B:B,MATCH(A224,[1]OEMship!A:A,0)),
                IFERROR(
                    INDEX([1]NV6ship!B:B,MATCH(A224,[1]NV6ship!A:A,0)),
                    IFERROR(
                        INDEX([1]NVship!B:B,MATCH(A224,[1]NVship!A:A,0)),
                        IFERROR(
                            INDEX([1]海ship!B:B,MATCH(A224,[1]海ship!A:A,0)),
                            IFERROR(
                                INDEX([1]ｾﾚship!B:B,MATCH(A224,[1]ｾﾚship!A:A,0)),
                                IFERROR(
                                    INDEX([1]ｾﾚﾓﾆｰ商品ship!B:B,MATCH(A224,[1]ｾﾚﾓﾆｰ商品ship!A:A,0)),
                                    INDEX([2]NV!D:D,MATCH(A224,[2]NV!C:C,0))
                                )
                            )
                        )
                    )
                )
            )
        )
    )
)</f>
        <v>Xtrada ﾒﾀﾙｼﾞｬｯｶｰ80g ﾌﾙｸﾞﾛｰ</v>
      </c>
      <c r="C224" s="4" t="s">
        <v>1</v>
      </c>
      <c r="D224" s="10" t="str">
        <f t="shared" si="9"/>
        <v>Xtrada ﾒﾀﾙｼﾞｬｯｶｰ80g ﾌﾙｸﾞﾛｰ ｜ 1F釣具部屋【04】 ｜ L</v>
      </c>
      <c r="E224" s="11" t="str">
        <f t="shared" si="10"/>
        <v>1F釣具部屋</v>
      </c>
      <c r="F224" s="12" t="s">
        <v>21</v>
      </c>
      <c r="G224" s="11" t="str">
        <f t="shared" si="11"/>
        <v>04・1F釣具部屋L</v>
      </c>
      <c r="H224" s="3"/>
    </row>
    <row r="225" spans="1:8" ht="15" customHeight="1" x14ac:dyDescent="0.2">
      <c r="A225" s="14" t="s">
        <v>742</v>
      </c>
      <c r="B225" s="10" t="str">
        <f>IFERROR(
    INDEX([1]FSHIP!B:B,MATCH(A225,[1]FSHIP!A:A,0)),
    IFERROR(
        INDEX([1]釣具商品ship!B:B,MATCH(A225,[1]釣具商品ship!A:A,0)),
        IFERROR(
            INDEX([1]玩具商品ship!B:B,MATCH(A225,[1]玩具商品ship!A:A,0)),
            IFERROR(
                INDEX([1]OEMship!B:B,MATCH(A225,[1]OEMship!A:A,0)),
                IFERROR(
                    INDEX([1]NV6ship!B:B,MATCH(A225,[1]NV6ship!A:A,0)),
                    IFERROR(
                        INDEX([1]NVship!B:B,MATCH(A225,[1]NVship!A:A,0)),
                        IFERROR(
                            INDEX([1]海ship!B:B,MATCH(A225,[1]海ship!A:A,0)),
                            IFERROR(
                                INDEX([1]ｾﾚship!B:B,MATCH(A225,[1]ｾﾚship!A:A,0)),
                                IFERROR(
                                    INDEX([1]ｾﾚﾓﾆｰ商品ship!B:B,MATCH(A225,[1]ｾﾚﾓﾆｰ商品ship!A:A,0)),
                                    INDEX([2]NV!D:D,MATCH(A225,[2]NV!C:C,0))
                                )
                            )
                        )
                    )
                )
            )
        )
    )
)</f>
        <v>業務用ﾌﾟﾆｲｶXｳｨﾝｸﾞｹｲﾑﾗｸﾘｱ</v>
      </c>
      <c r="C225" s="16" t="s">
        <v>743</v>
      </c>
      <c r="D225" s="4" t="str">
        <f t="shared" si="9"/>
        <v>業務用ﾌﾟﾆｲｶXｳｨﾝｸﾞｹｲﾑﾗｸﾘｱ ｜ 1F釣具部屋【04】 ｜ K</v>
      </c>
      <c r="E225" s="11" t="str">
        <f t="shared" si="10"/>
        <v>1F釣具部屋</v>
      </c>
      <c r="F225" s="12" t="s">
        <v>745</v>
      </c>
      <c r="G225" s="11" t="str">
        <f t="shared" si="11"/>
        <v>04・1F釣具部屋K</v>
      </c>
      <c r="H225" s="3"/>
    </row>
    <row r="226" spans="1:8" ht="15" customHeight="1" x14ac:dyDescent="0.2">
      <c r="A226" s="14" t="s">
        <v>746</v>
      </c>
      <c r="B226" s="10" t="str">
        <f>IFERROR(
    INDEX([1]FSHIP!B:B,MATCH(A226,[1]FSHIP!A:A,0)),
    IFERROR(
        INDEX([1]釣具商品ship!B:B,MATCH(A226,[1]釣具商品ship!A:A,0)),
        IFERROR(
            INDEX([1]玩具商品ship!B:B,MATCH(A226,[1]玩具商品ship!A:A,0)),
            IFERROR(
                INDEX([1]OEMship!B:B,MATCH(A226,[1]OEMship!A:A,0)),
                IFERROR(
                    INDEX([1]NV6ship!B:B,MATCH(A226,[1]NV6ship!A:A,0)),
                    IFERROR(
                        INDEX([1]NVship!B:B,MATCH(A226,[1]NVship!A:A,0)),
                        IFERROR(
                            INDEX([1]海ship!B:B,MATCH(A226,[1]海ship!A:A,0)),
                            IFERROR(
                                INDEX([1]ｾﾚship!B:B,MATCH(A226,[1]ｾﾚship!A:A,0)),
                                IFERROR(
                                    INDEX([1]ｾﾚﾓﾆｰ商品ship!B:B,MATCH(A226,[1]ｾﾚﾓﾆｰ商品ship!A:A,0)),
                                    INDEX([2]NV!D:D,MATCH(A226,[2]NV!C:C,0))
                                )
                            )
                        )
                    )
                )
            )
        )
    )
)</f>
        <v>業務用ﾌﾟﾆｲｶXｳｨﾝｸﾞｹｲﾑﾗｲﾜｼ</v>
      </c>
      <c r="C226" s="16" t="s">
        <v>743</v>
      </c>
      <c r="D226" s="4" t="str">
        <f t="shared" si="9"/>
        <v>業務用ﾌﾟﾆｲｶXｳｨﾝｸﾞｹｲﾑﾗｲﾜｼ ｜ 1F釣具部屋【04】 ｜ K</v>
      </c>
      <c r="E226" s="11" t="str">
        <f t="shared" si="10"/>
        <v>1F釣具部屋</v>
      </c>
      <c r="F226" s="12" t="s">
        <v>745</v>
      </c>
      <c r="G226" s="11" t="str">
        <f t="shared" si="11"/>
        <v>04・1F釣具部屋K</v>
      </c>
      <c r="H226" s="3"/>
    </row>
    <row r="227" spans="1:8" ht="15" customHeight="1" x14ac:dyDescent="0.2">
      <c r="A227" s="14" t="s">
        <v>747</v>
      </c>
      <c r="B227" s="10" t="str">
        <f>IFERROR(
    INDEX([1]FSHIP!B:B,MATCH(A227,[1]FSHIP!A:A,0)),
    IFERROR(
        INDEX([1]釣具商品ship!B:B,MATCH(A227,[1]釣具商品ship!A:A,0)),
        IFERROR(
            INDEX([1]玩具商品ship!B:B,MATCH(A227,[1]玩具商品ship!A:A,0)),
            IFERROR(
                INDEX([1]OEMship!B:B,MATCH(A227,[1]OEMship!A:A,0)),
                IFERROR(
                    INDEX([1]NV6ship!B:B,MATCH(A227,[1]NV6ship!A:A,0)),
                    IFERROR(
                        INDEX([1]NVship!B:B,MATCH(A227,[1]NVship!A:A,0)),
                        IFERROR(
                            INDEX([1]海ship!B:B,MATCH(A227,[1]海ship!A:A,0)),
                            IFERROR(
                                INDEX([1]ｾﾚship!B:B,MATCH(A227,[1]ｾﾚship!A:A,0)),
                                IFERROR(
                                    INDEX([1]ｾﾚﾓﾆｰ商品ship!B:B,MATCH(A227,[1]ｾﾚﾓﾆｰ商品ship!A:A,0)),
                                    INDEX([2]NV!D:D,MATCH(A227,[2]NV!C:C,0))
                                )
                            )
                        )
                    )
                )
            )
        )
    )
)</f>
        <v>業務用ﾌﾟﾆｲｶXｳｨﾝｸﾞ血管</v>
      </c>
      <c r="C227" s="16" t="s">
        <v>743</v>
      </c>
      <c r="D227" s="4" t="str">
        <f t="shared" si="9"/>
        <v>業務用ﾌﾟﾆｲｶXｳｨﾝｸﾞ血管 ｜ 1F釣具部屋【04】 ｜ K</v>
      </c>
      <c r="E227" s="11" t="str">
        <f t="shared" si="10"/>
        <v>1F釣具部屋</v>
      </c>
      <c r="F227" s="12" t="s">
        <v>745</v>
      </c>
      <c r="G227" s="11" t="str">
        <f t="shared" si="11"/>
        <v>04・1F釣具部屋K</v>
      </c>
      <c r="H227" s="3"/>
    </row>
    <row r="228" spans="1:8" ht="15" customHeight="1" x14ac:dyDescent="0.2">
      <c r="A228" s="10" t="s">
        <v>163</v>
      </c>
      <c r="B228" s="10" t="str">
        <f>IFERROR(
    INDEX([1]FSHIP!B:B,MATCH(A228,[1]FSHIP!A:A,0)),
    IFERROR(
        INDEX([1]釣具商品ship!B:B,MATCH(A228,[1]釣具商品ship!A:A,0)),
        IFERROR(
            INDEX([1]玩具商品ship!B:B,MATCH(A228,[1]玩具商品ship!A:A,0)),
            IFERROR(
                INDEX([1]OEMship!B:B,MATCH(A228,[1]OEMship!A:A,0)),
                IFERROR(
                    INDEX([1]NV6ship!B:B,MATCH(A228,[1]NV6ship!A:A,0)),
                    IFERROR(
                        INDEX([1]NVship!B:B,MATCH(A228,[1]NVship!A:A,0)),
                        IFERROR(
                            INDEX([1]海ship!B:B,MATCH(A228,[1]海ship!A:A,0)),
                            IFERROR(
                                INDEX([1]ｾﾚship!B:B,MATCH(A228,[1]ｾﾚship!A:A,0)),
                                IFERROR(
                                    INDEX([1]ｾﾚﾓﾆｰ商品ship!B:B,MATCH(A228,[1]ｾﾚﾓﾆｰ商品ship!A:A,0)),
                                    INDEX([2]NV!D:D,MATCH(A228,[2]NV!C:C,0))
                                )
                            )
                        )
                    )
                )
            )
        )
    )
)</f>
        <v>ケミブライトフック　金マダイ　１０号</v>
      </c>
      <c r="C228" s="4" t="s">
        <v>0</v>
      </c>
      <c r="D228" s="10" t="str">
        <f t="shared" si="9"/>
        <v>ケミブライトフック　金マダイ　１０号 ｜ 1F釣具部屋【04】 ｜ F</v>
      </c>
      <c r="E228" s="11" t="str">
        <f t="shared" si="10"/>
        <v>1F釣具部屋</v>
      </c>
      <c r="F228" s="12" t="s">
        <v>21</v>
      </c>
      <c r="G228" s="11" t="str">
        <f t="shared" si="11"/>
        <v>04・1F釣具部屋F</v>
      </c>
      <c r="H228" s="3"/>
    </row>
    <row r="229" spans="1:8" ht="15" customHeight="1" x14ac:dyDescent="0.2">
      <c r="A229" s="10" t="s">
        <v>164</v>
      </c>
      <c r="B229" s="10" t="e">
        <f>IFERROR(
    INDEX([1]FSHIP!B:B,MATCH(A229,[1]FSHIP!A:A,0)),
    IFERROR(
        INDEX([1]釣具商品ship!B:B,MATCH(A229,[1]釣具商品ship!A:A,0)),
        IFERROR(
            INDEX([1]玩具商品ship!B:B,MATCH(A229,[1]玩具商品ship!A:A,0)),
            IFERROR(
                INDEX([1]OEMship!B:B,MATCH(A229,[1]OEMship!A:A,0)),
                IFERROR(
                    INDEX([1]NV6ship!B:B,MATCH(A229,[1]NV6ship!A:A,0)),
                    IFERROR(
                        INDEX([1]NVship!B:B,MATCH(A229,[1]NVship!A:A,0)),
                        IFERROR(
                            INDEX([1]海ship!B:B,MATCH(A229,[1]海ship!A:A,0)),
                            IFERROR(
                                INDEX([1]ｾﾚship!B:B,MATCH(A229,[1]ｾﾚship!A:A,0)),
                                IFERROR(
                                    INDEX([1]ｾﾚﾓﾆｰ商品ship!B:B,MATCH(A229,[1]ｾﾚﾓﾆｰ商品ship!A:A,0)),
                                    INDEX([2]NV!D:D,MATCH(A229,[2]NV!C:C,0))
                                )
                            )
                        )
                    )
                )
            )
        )
    )
)</f>
        <v>#N/A</v>
      </c>
      <c r="C229" s="4" t="s">
        <v>0</v>
      </c>
      <c r="D229" s="10" t="e">
        <f t="shared" si="9"/>
        <v>#N/A</v>
      </c>
      <c r="E229" s="11" t="str">
        <f t="shared" si="10"/>
        <v>1F釣具部屋</v>
      </c>
      <c r="F229" s="12" t="s">
        <v>21</v>
      </c>
      <c r="G229" s="11" t="str">
        <f t="shared" si="11"/>
        <v>04・1F釣具部屋F</v>
      </c>
      <c r="H229" s="3"/>
    </row>
    <row r="230" spans="1:8" ht="15" customHeight="1" x14ac:dyDescent="0.2">
      <c r="A230" s="10" t="s">
        <v>165</v>
      </c>
      <c r="B230" s="10" t="str">
        <f>IFERROR(
    INDEX([1]FSHIP!B:B,MATCH(A230,[1]FSHIP!A:A,0)),
    IFERROR(
        INDEX([1]釣具商品ship!B:B,MATCH(A230,[1]釣具商品ship!A:A,0)),
        IFERROR(
            INDEX([1]玩具商品ship!B:B,MATCH(A230,[1]玩具商品ship!A:A,0)),
            IFERROR(
                INDEX([1]OEMship!B:B,MATCH(A230,[1]OEMship!A:A,0)),
                IFERROR(
                    INDEX([1]NV6ship!B:B,MATCH(A230,[1]NV6ship!A:A,0)),
                    IFERROR(
                        INDEX([1]NVship!B:B,MATCH(A230,[1]NVship!A:A,0)),
                        IFERROR(
                            INDEX([1]海ship!B:B,MATCH(A230,[1]海ship!A:A,0)),
                            IFERROR(
                                INDEX([1]ｾﾚship!B:B,MATCH(A230,[1]ｾﾚship!A:A,0)),
                                IFERROR(
                                    INDEX([1]ｾﾚﾓﾆｰ商品ship!B:B,MATCH(A230,[1]ｾﾚﾓﾆｰ商品ship!A:A,0)),
                                    INDEX([2]NV!D:D,MATCH(A230,[2]NV!C:C,0))
                                )
                            )
                        )
                    )
                )
            )
        )
    )
)</f>
        <v>ケミブライトフック　金マダイ　７号</v>
      </c>
      <c r="C230" s="4" t="s">
        <v>0</v>
      </c>
      <c r="D230" s="10" t="str">
        <f t="shared" si="9"/>
        <v>ケミブライトフック　金マダイ　７号 ｜ 1F釣具部屋【04】 ｜ F</v>
      </c>
      <c r="E230" s="11" t="str">
        <f t="shared" si="10"/>
        <v>1F釣具部屋</v>
      </c>
      <c r="F230" s="12" t="s">
        <v>21</v>
      </c>
      <c r="G230" s="11" t="str">
        <f t="shared" si="11"/>
        <v>04・1F釣具部屋F</v>
      </c>
      <c r="H230" s="3"/>
    </row>
    <row r="231" spans="1:8" ht="15" customHeight="1" x14ac:dyDescent="0.2">
      <c r="A231" s="10" t="s">
        <v>166</v>
      </c>
      <c r="B231" s="10" t="str">
        <f>IFERROR(
    INDEX([1]FSHIP!B:B,MATCH(A231,[1]FSHIP!A:A,0)),
    IFERROR(
        INDEX([1]釣具商品ship!B:B,MATCH(A231,[1]釣具商品ship!A:A,0)),
        IFERROR(
            INDEX([1]玩具商品ship!B:B,MATCH(A231,[1]玩具商品ship!A:A,0)),
            IFERROR(
                INDEX([1]OEMship!B:B,MATCH(A231,[1]OEMship!A:A,0)),
                IFERROR(
                    INDEX([1]NV6ship!B:B,MATCH(A231,[1]NV6ship!A:A,0)),
                    IFERROR(
                        INDEX([1]NVship!B:B,MATCH(A231,[1]NVship!A:A,0)),
                        IFERROR(
                            INDEX([1]海ship!B:B,MATCH(A231,[1]海ship!A:A,0)),
                            IFERROR(
                                INDEX([1]ｾﾚship!B:B,MATCH(A231,[1]ｾﾚship!A:A,0)),
                                IFERROR(
                                    INDEX([1]ｾﾚﾓﾆｰ商品ship!B:B,MATCH(A231,[1]ｾﾚﾓﾆｰ商品ship!A:A,0)),
                                    INDEX([2]NV!D:D,MATCH(A231,[2]NV!C:C,0))
                                )
                            )
                        )
                    )
                )
            )
        )
    )
)</f>
        <v>ケミブライトフック　金チヌ　１号</v>
      </c>
      <c r="C231" s="4" t="s">
        <v>0</v>
      </c>
      <c r="D231" s="10" t="str">
        <f t="shared" si="9"/>
        <v>ケミブライトフック　金チヌ　１号 ｜ 1F釣具部屋【04】 ｜ F</v>
      </c>
      <c r="E231" s="11" t="str">
        <f t="shared" si="10"/>
        <v>1F釣具部屋</v>
      </c>
      <c r="F231" s="12" t="s">
        <v>21</v>
      </c>
      <c r="G231" s="11" t="str">
        <f t="shared" si="11"/>
        <v>04・1F釣具部屋F</v>
      </c>
      <c r="H231" s="3"/>
    </row>
    <row r="232" spans="1:8" ht="15" customHeight="1" x14ac:dyDescent="0.2">
      <c r="A232" s="10" t="s">
        <v>167</v>
      </c>
      <c r="B232" s="10" t="e">
        <f>IFERROR(
    INDEX([1]FSHIP!B:B,MATCH(A232,[1]FSHIP!A:A,0)),
    IFERROR(
        INDEX([1]釣具商品ship!B:B,MATCH(A232,[1]釣具商品ship!A:A,0)),
        IFERROR(
            INDEX([1]玩具商品ship!B:B,MATCH(A232,[1]玩具商品ship!A:A,0)),
            IFERROR(
                INDEX([1]OEMship!B:B,MATCH(A232,[1]OEMship!A:A,0)),
                IFERROR(
                    INDEX([1]NV6ship!B:B,MATCH(A232,[1]NV6ship!A:A,0)),
                    IFERROR(
                        INDEX([1]NVship!B:B,MATCH(A232,[1]NVship!A:A,0)),
                        IFERROR(
                            INDEX([1]海ship!B:B,MATCH(A232,[1]海ship!A:A,0)),
                            IFERROR(
                                INDEX([1]ｾﾚship!B:B,MATCH(A232,[1]ｾﾚship!A:A,0)),
                                IFERROR(
                                    INDEX([1]ｾﾚﾓﾆｰ商品ship!B:B,MATCH(A232,[1]ｾﾚﾓﾆｰ商品ship!A:A,0)),
                                    INDEX([2]NV!D:D,MATCH(A232,[2]NV!C:C,0))
                                )
                            )
                        )
                    )
                )
            )
        )
    )
)</f>
        <v>#N/A</v>
      </c>
      <c r="C232" s="4" t="s">
        <v>0</v>
      </c>
      <c r="D232" s="10" t="e">
        <f t="shared" si="9"/>
        <v>#N/A</v>
      </c>
      <c r="E232" s="11" t="str">
        <f t="shared" si="10"/>
        <v>1F釣具部屋</v>
      </c>
      <c r="F232" s="12" t="s">
        <v>21</v>
      </c>
      <c r="G232" s="11" t="str">
        <f t="shared" si="11"/>
        <v>04・1F釣具部屋F</v>
      </c>
      <c r="H232" s="3"/>
    </row>
    <row r="233" spans="1:8" ht="15" customHeight="1" x14ac:dyDescent="0.2">
      <c r="A233" s="10" t="s">
        <v>168</v>
      </c>
      <c r="B233" s="10" t="e">
        <f>IFERROR(
    INDEX([1]FSHIP!B:B,MATCH(A233,[1]FSHIP!A:A,0)),
    IFERROR(
        INDEX([1]釣具商品ship!B:B,MATCH(A233,[1]釣具商品ship!A:A,0)),
        IFERROR(
            INDEX([1]玩具商品ship!B:B,MATCH(A233,[1]玩具商品ship!A:A,0)),
            IFERROR(
                INDEX([1]OEMship!B:B,MATCH(A233,[1]OEMship!A:A,0)),
                IFERROR(
                    INDEX([1]NV6ship!B:B,MATCH(A233,[1]NV6ship!A:A,0)),
                    IFERROR(
                        INDEX([1]NVship!B:B,MATCH(A233,[1]NVship!A:A,0)),
                        IFERROR(
                            INDEX([1]海ship!B:B,MATCH(A233,[1]海ship!A:A,0)),
                            IFERROR(
                                INDEX([1]ｾﾚship!B:B,MATCH(A233,[1]ｾﾚship!A:A,0)),
                                IFERROR(
                                    INDEX([1]ｾﾚﾓﾆｰ商品ship!B:B,MATCH(A233,[1]ｾﾚﾓﾆｰ商品ship!A:A,0)),
                                    INDEX([2]NV!D:D,MATCH(A233,[2]NV!C:C,0))
                                )
                            )
                        )
                    )
                )
            )
        )
    )
)</f>
        <v>#N/A</v>
      </c>
      <c r="C233" s="4" t="s">
        <v>0</v>
      </c>
      <c r="D233" s="10" t="e">
        <f t="shared" si="9"/>
        <v>#N/A</v>
      </c>
      <c r="E233" s="11" t="str">
        <f t="shared" si="10"/>
        <v>1F釣具部屋</v>
      </c>
      <c r="F233" s="12" t="s">
        <v>21</v>
      </c>
      <c r="G233" s="11" t="str">
        <f t="shared" si="11"/>
        <v>04・1F釣具部屋F</v>
      </c>
      <c r="H233" s="3"/>
    </row>
    <row r="234" spans="1:8" ht="15" customHeight="1" x14ac:dyDescent="0.2">
      <c r="A234" s="10" t="s">
        <v>169</v>
      </c>
      <c r="B234" s="10" t="str">
        <f>IFERROR(
    INDEX([1]FSHIP!B:B,MATCH(A234,[1]FSHIP!A:A,0)),
    IFERROR(
        INDEX([1]釣具商品ship!B:B,MATCH(A234,[1]釣具商品ship!A:A,0)),
        IFERROR(
            INDEX([1]玩具商品ship!B:B,MATCH(A234,[1]玩具商品ship!A:A,0)),
            IFERROR(
                INDEX([1]OEMship!B:B,MATCH(A234,[1]OEMship!A:A,0)),
                IFERROR(
                    INDEX([1]NV6ship!B:B,MATCH(A234,[1]NV6ship!A:A,0)),
                    IFERROR(
                        INDEX([1]NVship!B:B,MATCH(A234,[1]NVship!A:A,0)),
                        IFERROR(
                            INDEX([1]海ship!B:B,MATCH(A234,[1]海ship!A:A,0)),
                            IFERROR(
                                INDEX([1]ｾﾚship!B:B,MATCH(A234,[1]ｾﾚship!A:A,0)),
                                IFERROR(
                                    INDEX([1]ｾﾚﾓﾆｰ商品ship!B:B,MATCH(A234,[1]ｾﾚﾓﾆｰ商品ship!A:A,0)),
                                    INDEX([2]NV!D:D,MATCH(A234,[2]NV!C:C,0))
                                )
                            )
                        )
                    )
                )
            )
        )
    )
)</f>
        <v>ケミブライトフック　金チヌ　５号</v>
      </c>
      <c r="C234" s="4" t="s">
        <v>0</v>
      </c>
      <c r="D234" s="10" t="str">
        <f t="shared" si="9"/>
        <v>ケミブライトフック　金チヌ　５号 ｜ 1F釣具部屋【04】 ｜ F</v>
      </c>
      <c r="E234" s="11" t="str">
        <f t="shared" si="10"/>
        <v>1F釣具部屋</v>
      </c>
      <c r="F234" s="12" t="s">
        <v>21</v>
      </c>
      <c r="G234" s="11" t="str">
        <f t="shared" si="11"/>
        <v>04・1F釣具部屋F</v>
      </c>
      <c r="H234" s="3"/>
    </row>
    <row r="235" spans="1:8" ht="15" customHeight="1" x14ac:dyDescent="0.2">
      <c r="A235" s="10" t="s">
        <v>170</v>
      </c>
      <c r="B235" s="10" t="e">
        <f>IFERROR(
    INDEX([1]FSHIP!B:B,MATCH(A235,[1]FSHIP!A:A,0)),
    IFERROR(
        INDEX([1]釣具商品ship!B:B,MATCH(A235,[1]釣具商品ship!A:A,0)),
        IFERROR(
            INDEX([1]玩具商品ship!B:B,MATCH(A235,[1]玩具商品ship!A:A,0)),
            IFERROR(
                INDEX([1]OEMship!B:B,MATCH(A235,[1]OEMship!A:A,0)),
                IFERROR(
                    INDEX([1]NV6ship!B:B,MATCH(A235,[1]NV6ship!A:A,0)),
                    IFERROR(
                        INDEX([1]NVship!B:B,MATCH(A235,[1]NVship!A:A,0)),
                        IFERROR(
                            INDEX([1]海ship!B:B,MATCH(A235,[1]海ship!A:A,0)),
                            IFERROR(
                                INDEX([1]ｾﾚship!B:B,MATCH(A235,[1]ｾﾚship!A:A,0)),
                                IFERROR(
                                    INDEX([1]ｾﾚﾓﾆｰ商品ship!B:B,MATCH(A235,[1]ｾﾚﾓﾆｰ商品ship!A:A,0)),
                                    INDEX([2]NV!D:D,MATCH(A235,[2]NV!C:C,0))
                                )
                            )
                        )
                    )
                )
            )
        )
    )
)</f>
        <v>#N/A</v>
      </c>
      <c r="C235" s="4" t="s">
        <v>0</v>
      </c>
      <c r="D235" s="10" t="e">
        <f t="shared" si="9"/>
        <v>#N/A</v>
      </c>
      <c r="E235" s="11" t="str">
        <f t="shared" si="10"/>
        <v>1F釣具部屋</v>
      </c>
      <c r="F235" s="12" t="s">
        <v>21</v>
      </c>
      <c r="G235" s="11" t="str">
        <f t="shared" si="11"/>
        <v>04・1F釣具部屋F</v>
      </c>
      <c r="H235" s="3"/>
    </row>
    <row r="236" spans="1:8" ht="15" customHeight="1" x14ac:dyDescent="0.2">
      <c r="A236" s="10" t="s">
        <v>219</v>
      </c>
      <c r="B236" s="10" t="str">
        <f>IFERROR(
    INDEX([1]FSHIP!B:B,MATCH(A236,[1]FSHIP!A:A,0)),
    IFERROR(
        INDEX([1]釣具商品ship!B:B,MATCH(A236,[1]釣具商品ship!A:A,0)),
        IFERROR(
            INDEX([1]玩具商品ship!B:B,MATCH(A236,[1]玩具商品ship!A:A,0)),
            IFERROR(
                INDEX([1]OEMship!B:B,MATCH(A236,[1]OEMship!A:A,0)),
                IFERROR(
                    INDEX([1]NV6ship!B:B,MATCH(A236,[1]NV6ship!A:A,0)),
                    IFERROR(
                        INDEX([1]NVship!B:B,MATCH(A236,[1]NVship!A:A,0)),
                        IFERROR(
                            INDEX([1]海ship!B:B,MATCH(A236,[1]海ship!A:A,0)),
                            IFERROR(
                                INDEX([1]ｾﾚship!B:B,MATCH(A236,[1]ｾﾚship!A:A,0)),
                                IFERROR(
                                    INDEX([1]ｾﾚﾓﾆｰ商品ship!B:B,MATCH(A236,[1]ｾﾚﾓﾆｰ商品ship!A:A,0)),
                                    INDEX([2]NV!D:D,MATCH(A236,[2]NV!C:C,0))
                                )
                            )
                        )
                    )
                )
            )
        )
    )
)</f>
        <v>お結び名人</v>
      </c>
      <c r="C236" s="4" t="s">
        <v>8</v>
      </c>
      <c r="D236" s="10" t="str">
        <f t="shared" si="9"/>
        <v>お結び名人 ｜ 1F釣具部屋【04】 ｜ I</v>
      </c>
      <c r="E236" s="11" t="str">
        <f t="shared" si="10"/>
        <v>1F釣具部屋</v>
      </c>
      <c r="F236" s="12" t="s">
        <v>21</v>
      </c>
      <c r="G236" s="11" t="str">
        <f t="shared" si="11"/>
        <v>04・1F釣具部屋I</v>
      </c>
      <c r="H236" s="3"/>
    </row>
    <row r="237" spans="1:8" ht="15" customHeight="1" x14ac:dyDescent="0.2">
      <c r="A237" s="10" t="s">
        <v>229</v>
      </c>
      <c r="B237" s="10" t="str">
        <f>IFERROR(
    INDEX([1]FSHIP!B:B,MATCH(A237,[1]FSHIP!A:A,0)),
    IFERROR(
        INDEX([1]釣具商品ship!B:B,MATCH(A237,[1]釣具商品ship!A:A,0)),
        IFERROR(
            INDEX([1]玩具商品ship!B:B,MATCH(A237,[1]玩具商品ship!A:A,0)),
            IFERROR(
                INDEX([1]OEMship!B:B,MATCH(A237,[1]OEMship!A:A,0)),
                IFERROR(
                    INDEX([1]NV6ship!B:B,MATCH(A237,[1]NV6ship!A:A,0)),
                    IFERROR(
                        INDEX([1]NVship!B:B,MATCH(A237,[1]NVship!A:A,0)),
                        IFERROR(
                            INDEX([1]海ship!B:B,MATCH(A237,[1]海ship!A:A,0)),
                            IFERROR(
                                INDEX([1]ｾﾚship!B:B,MATCH(A237,[1]ｾﾚship!A:A,0)),
                                IFERROR(
                                    INDEX([1]ｾﾚﾓﾆｰ商品ship!B:B,MATCH(A237,[1]ｾﾚﾓﾆｰ商品ship!A:A,0)),
                                    INDEX([2]NV!D:D,MATCH(A237,[2]NV!C:C,0))
                                )
                            )
                        )
                    )
                )
            )
        )
    )
)</f>
        <v>ﾌﾟﾆｲｶ　3ｲﾝﾁ　ｹｲﾑﾗｸﾘｱ</v>
      </c>
      <c r="C237" s="4" t="s">
        <v>6</v>
      </c>
      <c r="D237" s="10" t="str">
        <f t="shared" si="9"/>
        <v>ﾌﾟﾆｲｶ　3ｲﾝﾁ　ｹｲﾑﾗｸﾘｱ ｜ 1F釣具部屋【04】 ｜ J</v>
      </c>
      <c r="E237" s="11" t="str">
        <f t="shared" si="10"/>
        <v>1F釣具部屋</v>
      </c>
      <c r="F237" s="12" t="s">
        <v>21</v>
      </c>
      <c r="G237" s="11" t="str">
        <f t="shared" si="11"/>
        <v>04・1F釣具部屋J</v>
      </c>
      <c r="H237" s="3"/>
    </row>
    <row r="238" spans="1:8" ht="15" customHeight="1" x14ac:dyDescent="0.2">
      <c r="A238" s="10" t="s">
        <v>235</v>
      </c>
      <c r="B238" s="10" t="str">
        <f>IFERROR(
    INDEX([1]FSHIP!B:B,MATCH(A238,[1]FSHIP!A:A,0)),
    IFERROR(
        INDEX([1]釣具商品ship!B:B,MATCH(A238,[1]釣具商品ship!A:A,0)),
        IFERROR(
            INDEX([1]玩具商品ship!B:B,MATCH(A238,[1]玩具商品ship!A:A,0)),
            IFERROR(
                INDEX([1]OEMship!B:B,MATCH(A238,[1]OEMship!A:A,0)),
                IFERROR(
                    INDEX([1]NV6ship!B:B,MATCH(A238,[1]NV6ship!A:A,0)),
                    IFERROR(
                        INDEX([1]NVship!B:B,MATCH(A238,[1]NVship!A:A,0)),
                        IFERROR(
                            INDEX([1]海ship!B:B,MATCH(A238,[1]海ship!A:A,0)),
                            IFERROR(
                                INDEX([1]ｾﾚship!B:B,MATCH(A238,[1]ｾﾚship!A:A,0)),
                                IFERROR(
                                    INDEX([1]ｾﾚﾓﾆｰ商品ship!B:B,MATCH(A238,[1]ｾﾚﾓﾆｰ商品ship!A:A,0)),
                                    INDEX([2]NV!D:D,MATCH(A238,[2]NV!C:C,0))
                                )
                            )
                        )
                    )
                )
            )
        )
    )
)</f>
        <v>ﾌﾟﾆｲｶ　3ｲﾝﾁ　ｹｲﾑﾗｵﾚﾝｼﾞ</v>
      </c>
      <c r="C238" s="4" t="s">
        <v>6</v>
      </c>
      <c r="D238" s="10" t="str">
        <f t="shared" si="9"/>
        <v>ﾌﾟﾆｲｶ　3ｲﾝﾁ　ｹｲﾑﾗｵﾚﾝｼﾞ ｜ 1F釣具部屋【04】 ｜ J</v>
      </c>
      <c r="E238" s="11" t="str">
        <f t="shared" si="10"/>
        <v>1F釣具部屋</v>
      </c>
      <c r="F238" s="12" t="s">
        <v>21</v>
      </c>
      <c r="G238" s="11" t="str">
        <f t="shared" si="11"/>
        <v>04・1F釣具部屋J</v>
      </c>
      <c r="H238" s="3"/>
    </row>
    <row r="239" spans="1:8" ht="15" customHeight="1" x14ac:dyDescent="0.2">
      <c r="A239" s="10" t="s">
        <v>234</v>
      </c>
      <c r="B239" s="10" t="str">
        <f>IFERROR(
    INDEX([1]FSHIP!B:B,MATCH(A239,[1]FSHIP!A:A,0)),
    IFERROR(
        INDEX([1]釣具商品ship!B:B,MATCH(A239,[1]釣具商品ship!A:A,0)),
        IFERROR(
            INDEX([1]玩具商品ship!B:B,MATCH(A239,[1]玩具商品ship!A:A,0)),
            IFERROR(
                INDEX([1]OEMship!B:B,MATCH(A239,[1]OEMship!A:A,0)),
                IFERROR(
                    INDEX([1]NV6ship!B:B,MATCH(A239,[1]NV6ship!A:A,0)),
                    IFERROR(
                        INDEX([1]NVship!B:B,MATCH(A239,[1]NVship!A:A,0)),
                        IFERROR(
                            INDEX([1]海ship!B:B,MATCH(A239,[1]海ship!A:A,0)),
                            IFERROR(
                                INDEX([1]ｾﾚship!B:B,MATCH(A239,[1]ｾﾚship!A:A,0)),
                                IFERROR(
                                    INDEX([1]ｾﾚﾓﾆｰ商品ship!B:B,MATCH(A239,[1]ｾﾚﾓﾆｰ商品ship!A:A,0)),
                                    INDEX([2]NV!D:D,MATCH(A239,[2]NV!C:C,0))
                                )
                            )
                        )
                    )
                )
            )
        )
    )
)</f>
        <v>ﾌﾟﾆｲｶ　3ｲﾝﾁ　ｹｲﾑﾗﾋﾟﾝｸ</v>
      </c>
      <c r="C239" s="4" t="s">
        <v>6</v>
      </c>
      <c r="D239" s="10" t="str">
        <f t="shared" si="9"/>
        <v>ﾌﾟﾆｲｶ　3ｲﾝﾁ　ｹｲﾑﾗﾋﾟﾝｸ ｜ 1F釣具部屋【04】 ｜ J</v>
      </c>
      <c r="E239" s="11" t="str">
        <f t="shared" si="10"/>
        <v>1F釣具部屋</v>
      </c>
      <c r="F239" s="12" t="s">
        <v>21</v>
      </c>
      <c r="G239" s="11" t="str">
        <f t="shared" si="11"/>
        <v>04・1F釣具部屋J</v>
      </c>
      <c r="H239" s="3"/>
    </row>
    <row r="240" spans="1:8" ht="15" customHeight="1" x14ac:dyDescent="0.2">
      <c r="A240" s="10" t="s">
        <v>233</v>
      </c>
      <c r="B240" s="10" t="str">
        <f>IFERROR(
    INDEX([1]FSHIP!B:B,MATCH(A240,[1]FSHIP!A:A,0)),
    IFERROR(
        INDEX([1]釣具商品ship!B:B,MATCH(A240,[1]釣具商品ship!A:A,0)),
        IFERROR(
            INDEX([1]玩具商品ship!B:B,MATCH(A240,[1]玩具商品ship!A:A,0)),
            IFERROR(
                INDEX([1]OEMship!B:B,MATCH(A240,[1]OEMship!A:A,0)),
                IFERROR(
                    INDEX([1]NV6ship!B:B,MATCH(A240,[1]NV6ship!A:A,0)),
                    IFERROR(
                        INDEX([1]NVship!B:B,MATCH(A240,[1]NVship!A:A,0)),
                        IFERROR(
                            INDEX([1]海ship!B:B,MATCH(A240,[1]海ship!A:A,0)),
                            IFERROR(
                                INDEX([1]ｾﾚship!B:B,MATCH(A240,[1]ｾﾚship!A:A,0)),
                                IFERROR(
                                    INDEX([1]ｾﾚﾓﾆｰ商品ship!B:B,MATCH(A240,[1]ｾﾚﾓﾆｰ商品ship!A:A,0)),
                                    INDEX([2]NV!D:D,MATCH(A240,[2]NV!C:C,0))
                                )
                            )
                        )
                    )
                )
            )
        )
    )
)</f>
        <v>ﾌﾟﾆｲｶ　3ｲﾝﾁ　ｹｲﾑﾗﾚｯﾄﾞ</v>
      </c>
      <c r="C240" s="4" t="s">
        <v>6</v>
      </c>
      <c r="D240" s="10" t="str">
        <f t="shared" si="9"/>
        <v>ﾌﾟﾆｲｶ　3ｲﾝﾁ　ｹｲﾑﾗﾚｯﾄﾞ ｜ 1F釣具部屋【04】 ｜ J</v>
      </c>
      <c r="E240" s="11" t="str">
        <f t="shared" si="10"/>
        <v>1F釣具部屋</v>
      </c>
      <c r="F240" s="12" t="s">
        <v>21</v>
      </c>
      <c r="G240" s="11" t="str">
        <f t="shared" si="11"/>
        <v>04・1F釣具部屋J</v>
      </c>
      <c r="H240" s="3"/>
    </row>
    <row r="241" spans="1:8" ht="15" customHeight="1" x14ac:dyDescent="0.2">
      <c r="A241" s="10" t="s">
        <v>228</v>
      </c>
      <c r="B241" s="10" t="str">
        <f>IFERROR(
    INDEX([1]FSHIP!B:B,MATCH(A241,[1]FSHIP!A:A,0)),
    IFERROR(
        INDEX([1]釣具商品ship!B:B,MATCH(A241,[1]釣具商品ship!A:A,0)),
        IFERROR(
            INDEX([1]玩具商品ship!B:B,MATCH(A241,[1]玩具商品ship!A:A,0)),
            IFERROR(
                INDEX([1]OEMship!B:B,MATCH(A241,[1]OEMship!A:A,0)),
                IFERROR(
                    INDEX([1]NV6ship!B:B,MATCH(A241,[1]NV6ship!A:A,0)),
                    IFERROR(
                        INDEX([1]NVship!B:B,MATCH(A241,[1]NVship!A:A,0)),
                        IFERROR(
                            INDEX([1]海ship!B:B,MATCH(A241,[1]海ship!A:A,0)),
                            IFERROR(
                                INDEX([1]ｾﾚship!B:B,MATCH(A241,[1]ｾﾚship!A:A,0)),
                                IFERROR(
                                    INDEX([1]ｾﾚﾓﾆｰ商品ship!B:B,MATCH(A241,[1]ｾﾚﾓﾆｰ商品ship!A:A,0)),
                                    INDEX([2]NV!D:D,MATCH(A241,[2]NV!C:C,0))
                                )
                            )
                        )
                    )
                )
            )
        )
    )
)</f>
        <v>ﾌﾟﾆｲｶ　3ｲﾝﾁ　ｸﾘｱﾎﾜｲﾄUV</v>
      </c>
      <c r="C241" s="4" t="s">
        <v>6</v>
      </c>
      <c r="D241" s="10" t="str">
        <f t="shared" si="9"/>
        <v>ﾌﾟﾆｲｶ　3ｲﾝﾁ　ｸﾘｱﾎﾜｲﾄUV ｜ 1F釣具部屋【04】 ｜ J</v>
      </c>
      <c r="E241" s="11" t="str">
        <f t="shared" si="10"/>
        <v>1F釣具部屋</v>
      </c>
      <c r="F241" s="12" t="s">
        <v>21</v>
      </c>
      <c r="G241" s="11" t="str">
        <f t="shared" si="11"/>
        <v>04・1F釣具部屋J</v>
      </c>
      <c r="H241" s="3"/>
    </row>
    <row r="242" spans="1:8" ht="15" customHeight="1" x14ac:dyDescent="0.2">
      <c r="A242" s="10" t="s">
        <v>227</v>
      </c>
      <c r="B242" s="10" t="str">
        <f>IFERROR(
    INDEX([1]FSHIP!B:B,MATCH(A242,[1]FSHIP!A:A,0)),
    IFERROR(
        INDEX([1]釣具商品ship!B:B,MATCH(A242,[1]釣具商品ship!A:A,0)),
        IFERROR(
            INDEX([1]玩具商品ship!B:B,MATCH(A242,[1]玩具商品ship!A:A,0)),
            IFERROR(
                INDEX([1]OEMship!B:B,MATCH(A242,[1]OEMship!A:A,0)),
                IFERROR(
                    INDEX([1]NV6ship!B:B,MATCH(A242,[1]NV6ship!A:A,0)),
                    IFERROR(
                        INDEX([1]NVship!B:B,MATCH(A242,[1]NVship!A:A,0)),
                        IFERROR(
                            INDEX([1]海ship!B:B,MATCH(A242,[1]海ship!A:A,0)),
                            IFERROR(
                                INDEX([1]ｾﾚship!B:B,MATCH(A242,[1]ｾﾚship!A:A,0)),
                                IFERROR(
                                    INDEX([1]ｾﾚﾓﾆｰ商品ship!B:B,MATCH(A242,[1]ｾﾚﾓﾆｰ商品ship!A:A,0)),
                                    INDEX([2]NV!D:D,MATCH(A242,[2]NV!C:C,0))
                                )
                            )
                        )
                    )
                )
            )
        )
    )
)</f>
        <v>ﾌﾟﾆｲｶ　3ｲﾝﾁ　ｹｲﾑﾗｲﾜｼ</v>
      </c>
      <c r="C242" s="4" t="s">
        <v>6</v>
      </c>
      <c r="D242" s="10" t="str">
        <f t="shared" si="9"/>
        <v>ﾌﾟﾆｲｶ　3ｲﾝﾁ　ｹｲﾑﾗｲﾜｼ ｜ 1F釣具部屋【04】 ｜ J</v>
      </c>
      <c r="E242" s="11" t="str">
        <f t="shared" si="10"/>
        <v>1F釣具部屋</v>
      </c>
      <c r="F242" s="12" t="s">
        <v>21</v>
      </c>
      <c r="G242" s="11" t="str">
        <f t="shared" si="11"/>
        <v>04・1F釣具部屋J</v>
      </c>
      <c r="H242" s="3"/>
    </row>
    <row r="243" spans="1:8" ht="15" customHeight="1" x14ac:dyDescent="0.2">
      <c r="A243" s="10" t="s">
        <v>230</v>
      </c>
      <c r="B243" s="10" t="str">
        <f>IFERROR(
    INDEX([1]FSHIP!B:B,MATCH(A243,[1]FSHIP!A:A,0)),
    IFERROR(
        INDEX([1]釣具商品ship!B:B,MATCH(A243,[1]釣具商品ship!A:A,0)),
        IFERROR(
            INDEX([1]玩具商品ship!B:B,MATCH(A243,[1]玩具商品ship!A:A,0)),
            IFERROR(
                INDEX([1]OEMship!B:B,MATCH(A243,[1]OEMship!A:A,0)),
                IFERROR(
                    INDEX([1]NV6ship!B:B,MATCH(A243,[1]NV6ship!A:A,0)),
                    IFERROR(
                        INDEX([1]NVship!B:B,MATCH(A243,[1]NVship!A:A,0)),
                        IFERROR(
                            INDEX([1]海ship!B:B,MATCH(A243,[1]海ship!A:A,0)),
                            IFERROR(
                                INDEX([1]ｾﾚship!B:B,MATCH(A243,[1]ｾﾚship!A:A,0)),
                                IFERROR(
                                    INDEX([1]ｾﾚﾓﾆｰ商品ship!B:B,MATCH(A243,[1]ｾﾚﾓﾆｰ商品ship!A:A,0)),
                                    INDEX([2]NV!D:D,MATCH(A243,[2]NV!C:C,0))
                                )
                            )
                        )
                    )
                )
            )
        )
    )
)</f>
        <v>ﾌﾟﾆｲｶ　3ｲﾝﾁ　ｲｼｶﾞﾆ</v>
      </c>
      <c r="C243" s="4" t="s">
        <v>6</v>
      </c>
      <c r="D243" s="10" t="str">
        <f t="shared" si="9"/>
        <v>ﾌﾟﾆｲｶ　3ｲﾝﾁ　ｲｼｶﾞﾆ ｜ 1F釣具部屋【04】 ｜ J</v>
      </c>
      <c r="E243" s="11" t="str">
        <f t="shared" si="10"/>
        <v>1F釣具部屋</v>
      </c>
      <c r="F243" s="12" t="s">
        <v>21</v>
      </c>
      <c r="G243" s="11" t="str">
        <f t="shared" si="11"/>
        <v>04・1F釣具部屋J</v>
      </c>
      <c r="H243" s="3"/>
    </row>
    <row r="244" spans="1:8" ht="15" customHeight="1" x14ac:dyDescent="0.2">
      <c r="A244" s="10" t="s">
        <v>231</v>
      </c>
      <c r="B244" s="10" t="str">
        <f>IFERROR(
    INDEX([1]FSHIP!B:B,MATCH(A244,[1]FSHIP!A:A,0)),
    IFERROR(
        INDEX([1]釣具商品ship!B:B,MATCH(A244,[1]釣具商品ship!A:A,0)),
        IFERROR(
            INDEX([1]玩具商品ship!B:B,MATCH(A244,[1]玩具商品ship!A:A,0)),
            IFERROR(
                INDEX([1]OEMship!B:B,MATCH(A244,[1]OEMship!A:A,0)),
                IFERROR(
                    INDEX([1]NV6ship!B:B,MATCH(A244,[1]NV6ship!A:A,0)),
                    IFERROR(
                        INDEX([1]NVship!B:B,MATCH(A244,[1]NVship!A:A,0)),
                        IFERROR(
                            INDEX([1]海ship!B:B,MATCH(A244,[1]海ship!A:A,0)),
                            IFERROR(
                                INDEX([1]ｾﾚship!B:B,MATCH(A244,[1]ｾﾚship!A:A,0)),
                                IFERROR(
                                    INDEX([1]ｾﾚﾓﾆｰ商品ship!B:B,MATCH(A244,[1]ｾﾚﾓﾆｰ商品ship!A:A,0)),
                                    INDEX([2]NV!D:D,MATCH(A244,[2]NV!C:C,0))
                                )
                            )
                        )
                    )
                )
            )
        )
    )
)</f>
        <v>ﾌﾟﾆｲｶ　3ｲﾝﾁ　ﾊﾃﾞｵﾚﾝｼﾞ</v>
      </c>
      <c r="C244" s="4" t="s">
        <v>6</v>
      </c>
      <c r="D244" s="10" t="str">
        <f t="shared" si="9"/>
        <v>ﾌﾟﾆｲｶ　3ｲﾝﾁ　ﾊﾃﾞｵﾚﾝｼﾞ ｜ 1F釣具部屋【04】 ｜ J</v>
      </c>
      <c r="E244" s="11" t="str">
        <f t="shared" si="10"/>
        <v>1F釣具部屋</v>
      </c>
      <c r="F244" s="12" t="s">
        <v>21</v>
      </c>
      <c r="G244" s="11" t="str">
        <f t="shared" si="11"/>
        <v>04・1F釣具部屋J</v>
      </c>
      <c r="H244" s="3"/>
    </row>
    <row r="245" spans="1:8" ht="15" customHeight="1" x14ac:dyDescent="0.2">
      <c r="A245" s="10" t="s">
        <v>226</v>
      </c>
      <c r="B245" s="10" t="str">
        <f>IFERROR(
    INDEX([1]FSHIP!B:B,MATCH(A245,[1]FSHIP!A:A,0)),
    IFERROR(
        INDEX([1]釣具商品ship!B:B,MATCH(A245,[1]釣具商品ship!A:A,0)),
        IFERROR(
            INDEX([1]玩具商品ship!B:B,MATCH(A245,[1]玩具商品ship!A:A,0)),
            IFERROR(
                INDEX([1]OEMship!B:B,MATCH(A245,[1]OEMship!A:A,0)),
                IFERROR(
                    INDEX([1]NV6ship!B:B,MATCH(A245,[1]NV6ship!A:A,0)),
                    IFERROR(
                        INDEX([1]NVship!B:B,MATCH(A245,[1]NVship!A:A,0)),
                        IFERROR(
                            INDEX([1]海ship!B:B,MATCH(A245,[1]海ship!A:A,0)),
                            IFERROR(
                                INDEX([1]ｾﾚship!B:B,MATCH(A245,[1]ｾﾚship!A:A,0)),
                                IFERROR(
                                    INDEX([1]ｾﾚﾓﾆｰ商品ship!B:B,MATCH(A245,[1]ｾﾚﾓﾆｰ商品ship!A:A,0)),
                                    INDEX([2]NV!D:D,MATCH(A245,[2]NV!C:C,0))
                                )
                            )
                        )
                    )
                )
            )
        )
    )
)</f>
        <v>ﾌﾟﾆｲｶｼｮｯｸﾜﾝ 沖漬け</v>
      </c>
      <c r="C245" s="4" t="s">
        <v>6</v>
      </c>
      <c r="D245" s="10" t="str">
        <f t="shared" si="9"/>
        <v>ﾌﾟﾆｲｶｼｮｯｸﾜﾝ 沖漬け ｜ 1F釣具部屋【04】 ｜ J</v>
      </c>
      <c r="E245" s="11" t="str">
        <f t="shared" si="10"/>
        <v>1F釣具部屋</v>
      </c>
      <c r="F245" s="12" t="s">
        <v>21</v>
      </c>
      <c r="G245" s="11" t="str">
        <f t="shared" si="11"/>
        <v>04・1F釣具部屋J</v>
      </c>
      <c r="H245" s="3"/>
    </row>
    <row r="246" spans="1:8" ht="15" customHeight="1" x14ac:dyDescent="0.2">
      <c r="A246" s="10" t="s">
        <v>324</v>
      </c>
      <c r="B246" s="10" t="str">
        <f>IFERROR(
    INDEX([1]FSHIP!B:B,MATCH(A246,[1]FSHIP!A:A,0)),
    IFERROR(
        INDEX([1]釣具商品ship!B:B,MATCH(A246,[1]釣具商品ship!A:A,0)),
        IFERROR(
            INDEX([1]玩具商品ship!B:B,MATCH(A246,[1]玩具商品ship!A:A,0)),
            IFERROR(
                INDEX([1]OEMship!B:B,MATCH(A246,[1]OEMship!A:A,0)),
                IFERROR(
                    INDEX([1]NV6ship!B:B,MATCH(A246,[1]NV6ship!A:A,0)),
                    IFERROR(
                        INDEX([1]NVship!B:B,MATCH(A246,[1]NVship!A:A,0)),
                        IFERROR(
                            INDEX([1]海ship!B:B,MATCH(A246,[1]海ship!A:A,0)),
                            IFERROR(
                                INDEX([1]ｾﾚship!B:B,MATCH(A246,[1]ｾﾚship!A:A,0)),
                                IFERROR(
                                    INDEX([1]ｾﾚﾓﾆｰ商品ship!B:B,MATCH(A246,[1]ｾﾚﾓﾆｰ商品ship!A:A,0)),
                                    INDEX([2]NV!D:D,MATCH(A246,[2]NV!C:C,0))
                                )
                            )
                        )
                    )
                )
            )
        )
    )
)</f>
        <v>プニラバTG 60g 緑色グローラメ</v>
      </c>
      <c r="C246" s="4" t="s">
        <v>0</v>
      </c>
      <c r="D246" s="10" t="str">
        <f t="shared" si="9"/>
        <v>プニラバTG 60g 緑色グローラメ ｜ 1F釣具部屋【04】 ｜ F</v>
      </c>
      <c r="E246" s="11" t="str">
        <f t="shared" si="10"/>
        <v>1F釣具部屋</v>
      </c>
      <c r="F246" s="12" t="s">
        <v>800</v>
      </c>
      <c r="G246" s="11" t="str">
        <f t="shared" si="11"/>
        <v>04・1F釣具部屋F</v>
      </c>
      <c r="H246" s="3"/>
    </row>
    <row r="247" spans="1:8" ht="15" customHeight="1" x14ac:dyDescent="0.2">
      <c r="A247" s="10" t="s">
        <v>327</v>
      </c>
      <c r="B247" s="10" t="str">
        <f>IFERROR(
    INDEX([1]FSHIP!B:B,MATCH(A247,[1]FSHIP!A:A,0)),
    IFERROR(
        INDEX([1]釣具商品ship!B:B,MATCH(A247,[1]釣具商品ship!A:A,0)),
        IFERROR(
            INDEX([1]玩具商品ship!B:B,MATCH(A247,[1]玩具商品ship!A:A,0)),
            IFERROR(
                INDEX([1]OEMship!B:B,MATCH(A247,[1]OEMship!A:A,0)),
                IFERROR(
                    INDEX([1]NV6ship!B:B,MATCH(A247,[1]NV6ship!A:A,0)),
                    IFERROR(
                        INDEX([1]NVship!B:B,MATCH(A247,[1]NVship!A:A,0)),
                        IFERROR(
                            INDEX([1]海ship!B:B,MATCH(A247,[1]海ship!A:A,0)),
                            IFERROR(
                                INDEX([1]ｾﾚship!B:B,MATCH(A247,[1]ｾﾚship!A:A,0)),
                                IFERROR(
                                    INDEX([1]ｾﾚﾓﾆｰ商品ship!B:B,MATCH(A247,[1]ｾﾚﾓﾆｰ商品ship!A:A,0)),
                                    INDEX([2]NV!D:D,MATCH(A247,[2]NV!C:C,0))
                                )
                            )
                        )
                    )
                )
            )
        )
    )
)</f>
        <v>プニラバTG 60g 青色グローラメ</v>
      </c>
      <c r="C247" s="4" t="s">
        <v>0</v>
      </c>
      <c r="D247" s="10" t="str">
        <f t="shared" si="9"/>
        <v>プニラバTG 60g 青色グローラメ ｜ 1F釣具部屋【04】 ｜ F</v>
      </c>
      <c r="E247" s="11" t="str">
        <f t="shared" si="10"/>
        <v>1F釣具部屋</v>
      </c>
      <c r="F247" s="12" t="s">
        <v>800</v>
      </c>
      <c r="G247" s="11" t="str">
        <f t="shared" si="11"/>
        <v>04・1F釣具部屋F</v>
      </c>
      <c r="H247" s="3"/>
    </row>
    <row r="248" spans="1:8" ht="15" customHeight="1" x14ac:dyDescent="0.2">
      <c r="A248" s="10" t="s">
        <v>332</v>
      </c>
      <c r="B248" s="10" t="str">
        <f>IFERROR(
    INDEX([1]FSHIP!B:B,MATCH(A248,[1]FSHIP!A:A,0)),
    IFERROR(
        INDEX([1]釣具商品ship!B:B,MATCH(A248,[1]釣具商品ship!A:A,0)),
        IFERROR(
            INDEX([1]玩具商品ship!B:B,MATCH(A248,[1]玩具商品ship!A:A,0)),
            IFERROR(
                INDEX([1]OEMship!B:B,MATCH(A248,[1]OEMship!A:A,0)),
                IFERROR(
                    INDEX([1]NV6ship!B:B,MATCH(A248,[1]NV6ship!A:A,0)),
                    IFERROR(
                        INDEX([1]NVship!B:B,MATCH(A248,[1]NVship!A:A,0)),
                        IFERROR(
                            INDEX([1]海ship!B:B,MATCH(A248,[1]海ship!A:A,0)),
                            IFERROR(
                                INDEX([1]ｾﾚship!B:B,MATCH(A248,[1]ｾﾚship!A:A,0)),
                                IFERROR(
                                    INDEX([1]ｾﾚﾓﾆｰ商品ship!B:B,MATCH(A248,[1]ｾﾚﾓﾆｰ商品ship!A:A,0)),
                                    INDEX([2]NV!D:D,MATCH(A248,[2]NV!C:C,0))
                                )
                            )
                        )
                    )
                )
            )
        )
    )
)</f>
        <v>プニラバTG 60g パンプキン</v>
      </c>
      <c r="C248" s="4" t="s">
        <v>0</v>
      </c>
      <c r="D248" s="10" t="str">
        <f t="shared" si="9"/>
        <v>プニラバTG 60g パンプキン ｜ 1F釣具部屋【04】 ｜ F</v>
      </c>
      <c r="E248" s="11" t="str">
        <f t="shared" si="10"/>
        <v>1F釣具部屋</v>
      </c>
      <c r="F248" s="12" t="s">
        <v>800</v>
      </c>
      <c r="G248" s="11" t="str">
        <f t="shared" si="11"/>
        <v>04・1F釣具部屋F</v>
      </c>
      <c r="H248" s="3"/>
    </row>
    <row r="249" spans="1:8" ht="15" customHeight="1" x14ac:dyDescent="0.2">
      <c r="A249" s="10" t="s">
        <v>333</v>
      </c>
      <c r="B249" s="10" t="str">
        <f>IFERROR(
    INDEX([1]FSHIP!B:B,MATCH(A249,[1]FSHIP!A:A,0)),
    IFERROR(
        INDEX([1]釣具商品ship!B:B,MATCH(A249,[1]釣具商品ship!A:A,0)),
        IFERROR(
            INDEX([1]玩具商品ship!B:B,MATCH(A249,[1]玩具商品ship!A:A,0)),
            IFERROR(
                INDEX([1]OEMship!B:B,MATCH(A249,[1]OEMship!A:A,0)),
                IFERROR(
                    INDEX([1]NV6ship!B:B,MATCH(A249,[1]NV6ship!A:A,0)),
                    IFERROR(
                        INDEX([1]NVship!B:B,MATCH(A249,[1]NVship!A:A,0)),
                        IFERROR(
                            INDEX([1]海ship!B:B,MATCH(A249,[1]海ship!A:A,0)),
                            IFERROR(
                                INDEX([1]ｾﾚship!B:B,MATCH(A249,[1]ｾﾚship!A:A,0)),
                                IFERROR(
                                    INDEX([1]ｾﾚﾓﾆｰ商品ship!B:B,MATCH(A249,[1]ｾﾚﾓﾆｰ商品ship!A:A,0)),
                                    INDEX([2]NV!D:D,MATCH(A249,[2]NV!C:C,0))
                                )
                            )
                        )
                    )
                )
            )
        )
    )
)</f>
        <v>プニラバTG 60g チャートリュース</v>
      </c>
      <c r="C249" s="4" t="s">
        <v>0</v>
      </c>
      <c r="D249" s="10" t="str">
        <f t="shared" si="9"/>
        <v>プニラバTG 60g チャートリュース ｜ 1F釣具部屋【04】 ｜ F</v>
      </c>
      <c r="E249" s="11" t="str">
        <f t="shared" si="10"/>
        <v>1F釣具部屋</v>
      </c>
      <c r="F249" s="12" t="s">
        <v>800</v>
      </c>
      <c r="G249" s="11" t="str">
        <f t="shared" si="11"/>
        <v>04・1F釣具部屋F</v>
      </c>
      <c r="H249" s="3"/>
    </row>
    <row r="250" spans="1:8" ht="15" customHeight="1" x14ac:dyDescent="0.2">
      <c r="A250" s="10" t="s">
        <v>338</v>
      </c>
      <c r="B250" s="10" t="str">
        <f>IFERROR(
    INDEX([1]FSHIP!B:B,MATCH(A250,[1]FSHIP!A:A,0)),
    IFERROR(
        INDEX([1]釣具商品ship!B:B,MATCH(A250,[1]釣具商品ship!A:A,0)),
        IFERROR(
            INDEX([1]玩具商品ship!B:B,MATCH(A250,[1]玩具商品ship!A:A,0)),
            IFERROR(
                INDEX([1]OEMship!B:B,MATCH(A250,[1]OEMship!A:A,0)),
                IFERROR(
                    INDEX([1]NV6ship!B:B,MATCH(A250,[1]NV6ship!A:A,0)),
                    IFERROR(
                        INDEX([1]NVship!B:B,MATCH(A250,[1]NVship!A:A,0)),
                        IFERROR(
                            INDEX([1]海ship!B:B,MATCH(A250,[1]海ship!A:A,0)),
                            IFERROR(
                                INDEX([1]ｾﾚship!B:B,MATCH(A250,[1]ｾﾚship!A:A,0)),
                                IFERROR(
                                    INDEX([1]ｾﾚﾓﾆｰ商品ship!B:B,MATCH(A250,[1]ｾﾚﾓﾆｰ商品ship!A:A,0)),
                                    INDEX([2]NV!D:D,MATCH(A250,[2]NV!C:C,0))
                                )
                            )
                        )
                    )
                )
            )
        )
    )
)</f>
        <v>プニラバTG 60g UV-ピンク</v>
      </c>
      <c r="C250" s="4" t="s">
        <v>0</v>
      </c>
      <c r="D250" s="10" t="str">
        <f t="shared" si="9"/>
        <v>プニラバTG 60g UV-ピンク ｜ 1F釣具部屋【04】 ｜ F</v>
      </c>
      <c r="E250" s="11" t="str">
        <f t="shared" si="10"/>
        <v>1F釣具部屋</v>
      </c>
      <c r="F250" s="12" t="s">
        <v>800</v>
      </c>
      <c r="G250" s="11" t="str">
        <f t="shared" si="11"/>
        <v>04・1F釣具部屋F</v>
      </c>
      <c r="H250" s="3"/>
    </row>
    <row r="251" spans="1:8" ht="15" customHeight="1" x14ac:dyDescent="0.2">
      <c r="A251" s="10" t="s">
        <v>339</v>
      </c>
      <c r="B251" s="10" t="str">
        <f>IFERROR(
    INDEX([1]FSHIP!B:B,MATCH(A251,[1]FSHIP!A:A,0)),
    IFERROR(
        INDEX([1]釣具商品ship!B:B,MATCH(A251,[1]釣具商品ship!A:A,0)),
        IFERROR(
            INDEX([1]玩具商品ship!B:B,MATCH(A251,[1]玩具商品ship!A:A,0)),
            IFERROR(
                INDEX([1]OEMship!B:B,MATCH(A251,[1]OEMship!A:A,0)),
                IFERROR(
                    INDEX([1]NV6ship!B:B,MATCH(A251,[1]NV6ship!A:A,0)),
                    IFERROR(
                        INDEX([1]NVship!B:B,MATCH(A251,[1]NVship!A:A,0)),
                        IFERROR(
                            INDEX([1]海ship!B:B,MATCH(A251,[1]海ship!A:A,0)),
                            IFERROR(
                                INDEX([1]ｾﾚship!B:B,MATCH(A251,[1]ｾﾚship!A:A,0)),
                                IFERROR(
                                    INDEX([1]ｾﾚﾓﾆｰ商品ship!B:B,MATCH(A251,[1]ｾﾚﾓﾆｰ商品ship!A:A,0)),
                                    INDEX([2]NV!D:D,MATCH(A251,[2]NV!C:C,0))
                                )
                            )
                        )
                    )
                )
            )
        )
    )
)</f>
        <v>プニラバTG 60g UV-オレンジ</v>
      </c>
      <c r="C251" s="4" t="s">
        <v>0</v>
      </c>
      <c r="D251" s="10" t="str">
        <f t="shared" si="9"/>
        <v>プニラバTG 60g UV-オレンジ ｜ 1F釣具部屋【04】 ｜ F</v>
      </c>
      <c r="E251" s="11" t="str">
        <f t="shared" si="10"/>
        <v>1F釣具部屋</v>
      </c>
      <c r="F251" s="12" t="s">
        <v>800</v>
      </c>
      <c r="G251" s="11" t="str">
        <f t="shared" si="11"/>
        <v>04・1F釣具部屋F</v>
      </c>
      <c r="H251" s="3"/>
    </row>
    <row r="252" spans="1:8" ht="15" customHeight="1" x14ac:dyDescent="0.2">
      <c r="A252" s="10" t="s">
        <v>340</v>
      </c>
      <c r="B252" s="10" t="str">
        <f>IFERROR(
    INDEX([1]FSHIP!B:B,MATCH(A252,[1]FSHIP!A:A,0)),
    IFERROR(
        INDEX([1]釣具商品ship!B:B,MATCH(A252,[1]釣具商品ship!A:A,0)),
        IFERROR(
            INDEX([1]玩具商品ship!B:B,MATCH(A252,[1]玩具商品ship!A:A,0)),
            IFERROR(
                INDEX([1]OEMship!B:B,MATCH(A252,[1]OEMship!A:A,0)),
                IFERROR(
                    INDEX([1]NV6ship!B:B,MATCH(A252,[1]NV6ship!A:A,0)),
                    IFERROR(
                        INDEX([1]NVship!B:B,MATCH(A252,[1]NVship!A:A,0)),
                        IFERROR(
                            INDEX([1]海ship!B:B,MATCH(A252,[1]海ship!A:A,0)),
                            IFERROR(
                                INDEX([1]ｾﾚship!B:B,MATCH(A252,[1]ｾﾚship!A:A,0)),
                                IFERROR(
                                    INDEX([1]ｾﾚﾓﾆｰ商品ship!B:B,MATCH(A252,[1]ｾﾚﾓﾆｰ商品ship!A:A,0)),
                                    INDEX([2]NV!D:D,MATCH(A252,[2]NV!C:C,0))
                                )
                            )
                        )
                    )
                )
            )
        )
    )
)</f>
        <v>プニラバTG 60g UV-レッド</v>
      </c>
      <c r="C252" s="4" t="s">
        <v>0</v>
      </c>
      <c r="D252" s="10" t="str">
        <f t="shared" si="9"/>
        <v>プニラバTG 60g UV-レッド ｜ 1F釣具部屋【04】 ｜ F</v>
      </c>
      <c r="E252" s="11" t="str">
        <f t="shared" si="10"/>
        <v>1F釣具部屋</v>
      </c>
      <c r="F252" s="12" t="s">
        <v>800</v>
      </c>
      <c r="G252" s="11" t="str">
        <f t="shared" si="11"/>
        <v>04・1F釣具部屋F</v>
      </c>
      <c r="H252" s="3"/>
    </row>
    <row r="253" spans="1:8" ht="15" customHeight="1" x14ac:dyDescent="0.2">
      <c r="A253" s="10" t="s">
        <v>341</v>
      </c>
      <c r="B253" s="10" t="str">
        <f>IFERROR(
    INDEX([1]FSHIP!B:B,MATCH(A253,[1]FSHIP!A:A,0)),
    IFERROR(
        INDEX([1]釣具商品ship!B:B,MATCH(A253,[1]釣具商品ship!A:A,0)),
        IFERROR(
            INDEX([1]玩具商品ship!B:B,MATCH(A253,[1]玩具商品ship!A:A,0)),
            IFERROR(
                INDEX([1]OEMship!B:B,MATCH(A253,[1]OEMship!A:A,0)),
                IFERROR(
                    INDEX([1]NV6ship!B:B,MATCH(A253,[1]NV6ship!A:A,0)),
                    IFERROR(
                        INDEX([1]NVship!B:B,MATCH(A253,[1]NVship!A:A,0)),
                        IFERROR(
                            INDEX([1]海ship!B:B,MATCH(A253,[1]海ship!A:A,0)),
                            IFERROR(
                                INDEX([1]ｾﾚship!B:B,MATCH(A253,[1]ｾﾚship!A:A,0)),
                                IFERROR(
                                    INDEX([1]ｾﾚﾓﾆｰ商品ship!B:B,MATCH(A253,[1]ｾﾚﾓﾆｰ商品ship!A:A,0)),
                                    INDEX([2]NV!D:D,MATCH(A253,[2]NV!C:C,0))
                                )
                            )
                        )
                    )
                )
            )
        )
    )
)</f>
        <v>プニラバTG 80g 緑色グローラメ</v>
      </c>
      <c r="C253" s="4" t="s">
        <v>0</v>
      </c>
      <c r="D253" s="10" t="str">
        <f t="shared" si="9"/>
        <v>プニラバTG 80g 緑色グローラメ ｜ 1F釣具部屋【04】 ｜ F</v>
      </c>
      <c r="E253" s="11" t="str">
        <f t="shared" si="10"/>
        <v>1F釣具部屋</v>
      </c>
      <c r="F253" s="12" t="s">
        <v>800</v>
      </c>
      <c r="G253" s="11" t="str">
        <f t="shared" si="11"/>
        <v>04・1F釣具部屋F</v>
      </c>
      <c r="H253" s="3"/>
    </row>
    <row r="254" spans="1:8" ht="15" customHeight="1" x14ac:dyDescent="0.2">
      <c r="A254" s="10" t="s">
        <v>325</v>
      </c>
      <c r="B254" s="10" t="str">
        <f>IFERROR(
    INDEX([1]FSHIP!B:B,MATCH(A254,[1]FSHIP!A:A,0)),
    IFERROR(
        INDEX([1]釣具商品ship!B:B,MATCH(A254,[1]釣具商品ship!A:A,0)),
        IFERROR(
            INDEX([1]玩具商品ship!B:B,MATCH(A254,[1]玩具商品ship!A:A,0)),
            IFERROR(
                INDEX([1]OEMship!B:B,MATCH(A254,[1]OEMship!A:A,0)),
                IFERROR(
                    INDEX([1]NV6ship!B:B,MATCH(A254,[1]NV6ship!A:A,0)),
                    IFERROR(
                        INDEX([1]NVship!B:B,MATCH(A254,[1]NVship!A:A,0)),
                        IFERROR(
                            INDEX([1]海ship!B:B,MATCH(A254,[1]海ship!A:A,0)),
                            IFERROR(
                                INDEX([1]ｾﾚship!B:B,MATCH(A254,[1]ｾﾚship!A:A,0)),
                                IFERROR(
                                    INDEX([1]ｾﾚﾓﾆｰ商品ship!B:B,MATCH(A254,[1]ｾﾚﾓﾆｰ商品ship!A:A,0)),
                                    INDEX([2]NV!D:D,MATCH(A254,[2]NV!C:C,0))
                                )
                            )
                        )
                    )
                )
            )
        )
    )
)</f>
        <v>プニラバTG 80g 青色グローラメ</v>
      </c>
      <c r="C254" s="4" t="s">
        <v>0</v>
      </c>
      <c r="D254" s="10" t="str">
        <f t="shared" si="9"/>
        <v>プニラバTG 80g 青色グローラメ ｜ 1F釣具部屋【04】 ｜ F</v>
      </c>
      <c r="E254" s="11" t="str">
        <f t="shared" si="10"/>
        <v>1F釣具部屋</v>
      </c>
      <c r="F254" s="12" t="s">
        <v>800</v>
      </c>
      <c r="G254" s="11" t="str">
        <f t="shared" si="11"/>
        <v>04・1F釣具部屋F</v>
      </c>
      <c r="H254" s="3"/>
    </row>
    <row r="255" spans="1:8" ht="15" customHeight="1" x14ac:dyDescent="0.2">
      <c r="A255" s="10" t="s">
        <v>328</v>
      </c>
      <c r="B255" s="10" t="str">
        <f>IFERROR(
    INDEX([1]FSHIP!B:B,MATCH(A255,[1]FSHIP!A:A,0)),
    IFERROR(
        INDEX([1]釣具商品ship!B:B,MATCH(A255,[1]釣具商品ship!A:A,0)),
        IFERROR(
            INDEX([1]玩具商品ship!B:B,MATCH(A255,[1]玩具商品ship!A:A,0)),
            IFERROR(
                INDEX([1]OEMship!B:B,MATCH(A255,[1]OEMship!A:A,0)),
                IFERROR(
                    INDEX([1]NV6ship!B:B,MATCH(A255,[1]NV6ship!A:A,0)),
                    IFERROR(
                        INDEX([1]NVship!B:B,MATCH(A255,[1]NVship!A:A,0)),
                        IFERROR(
                            INDEX([1]海ship!B:B,MATCH(A255,[1]海ship!A:A,0)),
                            IFERROR(
                                INDEX([1]ｾﾚship!B:B,MATCH(A255,[1]ｾﾚship!A:A,0)),
                                IFERROR(
                                    INDEX([1]ｾﾚﾓﾆｰ商品ship!B:B,MATCH(A255,[1]ｾﾚﾓﾆｰ商品ship!A:A,0)),
                                    INDEX([2]NV!D:D,MATCH(A255,[2]NV!C:C,0))
                                )
                            )
                        )
                    )
                )
            )
        )
    )
)</f>
        <v>プニラバTG 80g パンプキン</v>
      </c>
      <c r="C255" s="4" t="s">
        <v>0</v>
      </c>
      <c r="D255" s="10" t="str">
        <f t="shared" si="9"/>
        <v>プニラバTG 80g パンプキン ｜ 1F釣具部屋【04】 ｜ F</v>
      </c>
      <c r="E255" s="11" t="str">
        <f t="shared" si="10"/>
        <v>1F釣具部屋</v>
      </c>
      <c r="F255" s="12" t="s">
        <v>800</v>
      </c>
      <c r="G255" s="11" t="str">
        <f t="shared" si="11"/>
        <v>04・1F釣具部屋F</v>
      </c>
      <c r="H255" s="3"/>
    </row>
    <row r="256" spans="1:8" ht="15" customHeight="1" x14ac:dyDescent="0.2">
      <c r="A256" s="10" t="s">
        <v>331</v>
      </c>
      <c r="B256" s="10" t="str">
        <f>IFERROR(
    INDEX([1]FSHIP!B:B,MATCH(A256,[1]FSHIP!A:A,0)),
    IFERROR(
        INDEX([1]釣具商品ship!B:B,MATCH(A256,[1]釣具商品ship!A:A,0)),
        IFERROR(
            INDEX([1]玩具商品ship!B:B,MATCH(A256,[1]玩具商品ship!A:A,0)),
            IFERROR(
                INDEX([1]OEMship!B:B,MATCH(A256,[1]OEMship!A:A,0)),
                IFERROR(
                    INDEX([1]NV6ship!B:B,MATCH(A256,[1]NV6ship!A:A,0)),
                    IFERROR(
                        INDEX([1]NVship!B:B,MATCH(A256,[1]NVship!A:A,0)),
                        IFERROR(
                            INDEX([1]海ship!B:B,MATCH(A256,[1]海ship!A:A,0)),
                            IFERROR(
                                INDEX([1]ｾﾚship!B:B,MATCH(A256,[1]ｾﾚship!A:A,0)),
                                IFERROR(
                                    INDEX([1]ｾﾚﾓﾆｰ商品ship!B:B,MATCH(A256,[1]ｾﾚﾓﾆｰ商品ship!A:A,0)),
                                    INDEX([2]NV!D:D,MATCH(A256,[2]NV!C:C,0))
                                )
                            )
                        )
                    )
                )
            )
        )
    )
)</f>
        <v>プニラバTG 80g チャートリュース</v>
      </c>
      <c r="C256" s="4" t="s">
        <v>0</v>
      </c>
      <c r="D256" s="10" t="str">
        <f t="shared" si="9"/>
        <v>プニラバTG 80g チャートリュース ｜ 1F釣具部屋【04】 ｜ F</v>
      </c>
      <c r="E256" s="11" t="str">
        <f t="shared" si="10"/>
        <v>1F釣具部屋</v>
      </c>
      <c r="F256" s="12" t="s">
        <v>800</v>
      </c>
      <c r="G256" s="11" t="str">
        <f t="shared" si="11"/>
        <v>04・1F釣具部屋F</v>
      </c>
      <c r="H256" s="3"/>
    </row>
    <row r="257" spans="1:8" ht="15" customHeight="1" x14ac:dyDescent="0.2">
      <c r="A257" s="10" t="s">
        <v>334</v>
      </c>
      <c r="B257" s="10" t="str">
        <f>IFERROR(
    INDEX([1]FSHIP!B:B,MATCH(A257,[1]FSHIP!A:A,0)),
    IFERROR(
        INDEX([1]釣具商品ship!B:B,MATCH(A257,[1]釣具商品ship!A:A,0)),
        IFERROR(
            INDEX([1]玩具商品ship!B:B,MATCH(A257,[1]玩具商品ship!A:A,0)),
            IFERROR(
                INDEX([1]OEMship!B:B,MATCH(A257,[1]OEMship!A:A,0)),
                IFERROR(
                    INDEX([1]NV6ship!B:B,MATCH(A257,[1]NV6ship!A:A,0)),
                    IFERROR(
                        INDEX([1]NVship!B:B,MATCH(A257,[1]NVship!A:A,0)),
                        IFERROR(
                            INDEX([1]海ship!B:B,MATCH(A257,[1]海ship!A:A,0)),
                            IFERROR(
                                INDEX([1]ｾﾚship!B:B,MATCH(A257,[1]ｾﾚship!A:A,0)),
                                IFERROR(
                                    INDEX([1]ｾﾚﾓﾆｰ商品ship!B:B,MATCH(A257,[1]ｾﾚﾓﾆｰ商品ship!A:A,0)),
                                    INDEX([2]NV!D:D,MATCH(A257,[2]NV!C:C,0))
                                )
                            )
                        )
                    )
                )
            )
        )
    )
)</f>
        <v>プニラバTG 80g UV-ピンク</v>
      </c>
      <c r="C257" s="4" t="s">
        <v>0</v>
      </c>
      <c r="D257" s="10" t="str">
        <f t="shared" si="9"/>
        <v>プニラバTG 80g UV-ピンク ｜ 1F釣具部屋【04】 ｜ F</v>
      </c>
      <c r="E257" s="11" t="str">
        <f t="shared" si="10"/>
        <v>1F釣具部屋</v>
      </c>
      <c r="F257" s="12" t="s">
        <v>800</v>
      </c>
      <c r="G257" s="11" t="str">
        <f t="shared" si="11"/>
        <v>04・1F釣具部屋F</v>
      </c>
      <c r="H257" s="3"/>
    </row>
    <row r="258" spans="1:8" ht="15" customHeight="1" x14ac:dyDescent="0.2">
      <c r="A258" s="10" t="s">
        <v>337</v>
      </c>
      <c r="B258" s="10" t="str">
        <f>IFERROR(
    INDEX([1]FSHIP!B:B,MATCH(A258,[1]FSHIP!A:A,0)),
    IFERROR(
        INDEX([1]釣具商品ship!B:B,MATCH(A258,[1]釣具商品ship!A:A,0)),
        IFERROR(
            INDEX([1]玩具商品ship!B:B,MATCH(A258,[1]玩具商品ship!A:A,0)),
            IFERROR(
                INDEX([1]OEMship!B:B,MATCH(A258,[1]OEMship!A:A,0)),
                IFERROR(
                    INDEX([1]NV6ship!B:B,MATCH(A258,[1]NV6ship!A:A,0)),
                    IFERROR(
                        INDEX([1]NVship!B:B,MATCH(A258,[1]NVship!A:A,0)),
                        IFERROR(
                            INDEX([1]海ship!B:B,MATCH(A258,[1]海ship!A:A,0)),
                            IFERROR(
                                INDEX([1]ｾﾚship!B:B,MATCH(A258,[1]ｾﾚship!A:A,0)),
                                IFERROR(
                                    INDEX([1]ｾﾚﾓﾆｰ商品ship!B:B,MATCH(A258,[1]ｾﾚﾓﾆｰ商品ship!A:A,0)),
                                    INDEX([2]NV!D:D,MATCH(A258,[2]NV!C:C,0))
                                )
                            )
                        )
                    )
                )
            )
        )
    )
)</f>
        <v>プニラバTG 80g UV-オレンジ</v>
      </c>
      <c r="C258" s="4" t="s">
        <v>0</v>
      </c>
      <c r="D258" s="10" t="str">
        <f t="shared" ref="D258:D321" si="12">B258&amp;" ｜ "&amp;E258&amp;"【"&amp;F258&amp;"】 ｜ "&amp;C258</f>
        <v>プニラバTG 80g UV-オレンジ ｜ 1F釣具部屋【04】 ｜ F</v>
      </c>
      <c r="E258" s="11" t="str">
        <f t="shared" ref="E258:E321" si="13">INDEX(K:K, MATCH(F258, J:J, 0))</f>
        <v>1F釣具部屋</v>
      </c>
      <c r="F258" s="12" t="s">
        <v>800</v>
      </c>
      <c r="G258" s="11" t="str">
        <f t="shared" ref="G258:G321" si="14">F258&amp;"・"&amp;E258&amp;C258</f>
        <v>04・1F釣具部屋F</v>
      </c>
      <c r="H258" s="3"/>
    </row>
    <row r="259" spans="1:8" ht="15" customHeight="1" x14ac:dyDescent="0.2">
      <c r="A259" s="10" t="s">
        <v>342</v>
      </c>
      <c r="B259" s="10" t="str">
        <f>IFERROR(
    INDEX([1]FSHIP!B:B,MATCH(A259,[1]FSHIP!A:A,0)),
    IFERROR(
        INDEX([1]釣具商品ship!B:B,MATCH(A259,[1]釣具商品ship!A:A,0)),
        IFERROR(
            INDEX([1]玩具商品ship!B:B,MATCH(A259,[1]玩具商品ship!A:A,0)),
            IFERROR(
                INDEX([1]OEMship!B:B,MATCH(A259,[1]OEMship!A:A,0)),
                IFERROR(
                    INDEX([1]NV6ship!B:B,MATCH(A259,[1]NV6ship!A:A,0)),
                    IFERROR(
                        INDEX([1]NVship!B:B,MATCH(A259,[1]NVship!A:A,0)),
                        IFERROR(
                            INDEX([1]海ship!B:B,MATCH(A259,[1]海ship!A:A,0)),
                            IFERROR(
                                INDEX([1]ｾﾚship!B:B,MATCH(A259,[1]ｾﾚship!A:A,0)),
                                IFERROR(
                                    INDEX([1]ｾﾚﾓﾆｰ商品ship!B:B,MATCH(A259,[1]ｾﾚﾓﾆｰ商品ship!A:A,0)),
                                    INDEX([2]NV!D:D,MATCH(A259,[2]NV!C:C,0))
                                )
                            )
                        )
                    )
                )
            )
        )
    )
)</f>
        <v>プニラバTG 80g UV-レッド</v>
      </c>
      <c r="C259" s="4" t="s">
        <v>0</v>
      </c>
      <c r="D259" s="10" t="str">
        <f t="shared" si="12"/>
        <v>プニラバTG 80g UV-レッド ｜ 1F釣具部屋【04】 ｜ F</v>
      </c>
      <c r="E259" s="11" t="str">
        <f t="shared" si="13"/>
        <v>1F釣具部屋</v>
      </c>
      <c r="F259" s="12" t="s">
        <v>800</v>
      </c>
      <c r="G259" s="11" t="str">
        <f t="shared" si="14"/>
        <v>04・1F釣具部屋F</v>
      </c>
      <c r="H259" s="3"/>
    </row>
    <row r="260" spans="1:8" ht="15" customHeight="1" x14ac:dyDescent="0.2">
      <c r="A260" s="10" t="s">
        <v>326</v>
      </c>
      <c r="B260" s="10" t="str">
        <f>IFERROR(
    INDEX([1]FSHIP!B:B,MATCH(A260,[1]FSHIP!A:A,0)),
    IFERROR(
        INDEX([1]釣具商品ship!B:B,MATCH(A260,[1]釣具商品ship!A:A,0)),
        IFERROR(
            INDEX([1]玩具商品ship!B:B,MATCH(A260,[1]玩具商品ship!A:A,0)),
            IFERROR(
                INDEX([1]OEMship!B:B,MATCH(A260,[1]OEMship!A:A,0)),
                IFERROR(
                    INDEX([1]NV6ship!B:B,MATCH(A260,[1]NV6ship!A:A,0)),
                    IFERROR(
                        INDEX([1]NVship!B:B,MATCH(A260,[1]NVship!A:A,0)),
                        IFERROR(
                            INDEX([1]海ship!B:B,MATCH(A260,[1]海ship!A:A,0)),
                            IFERROR(
                                INDEX([1]ｾﾚship!B:B,MATCH(A260,[1]ｾﾚship!A:A,0)),
                                IFERROR(
                                    INDEX([1]ｾﾚﾓﾆｰ商品ship!B:B,MATCH(A260,[1]ｾﾚﾓﾆｰ商品ship!A:A,0)),
                                    INDEX([2]NV!D:D,MATCH(A260,[2]NV!C:C,0))
                                )
                            )
                        )
                    )
                )
            )
        )
    )
)</f>
        <v>プニラバTG 100g 緑色グローラメ</v>
      </c>
      <c r="C260" s="4" t="s">
        <v>0</v>
      </c>
      <c r="D260" s="10" t="str">
        <f t="shared" si="12"/>
        <v>プニラバTG 100g 緑色グローラメ ｜ 1F釣具部屋【04】 ｜ F</v>
      </c>
      <c r="E260" s="11" t="str">
        <f t="shared" si="13"/>
        <v>1F釣具部屋</v>
      </c>
      <c r="F260" s="12" t="s">
        <v>800</v>
      </c>
      <c r="G260" s="11" t="str">
        <f t="shared" si="14"/>
        <v>04・1F釣具部屋F</v>
      </c>
      <c r="H260" s="3"/>
    </row>
    <row r="261" spans="1:8" ht="15" customHeight="1" x14ac:dyDescent="0.2">
      <c r="A261" s="10" t="s">
        <v>329</v>
      </c>
      <c r="B261" s="10" t="str">
        <f>IFERROR(
    INDEX([1]FSHIP!B:B,MATCH(A261,[1]FSHIP!A:A,0)),
    IFERROR(
        INDEX([1]釣具商品ship!B:B,MATCH(A261,[1]釣具商品ship!A:A,0)),
        IFERROR(
            INDEX([1]玩具商品ship!B:B,MATCH(A261,[1]玩具商品ship!A:A,0)),
            IFERROR(
                INDEX([1]OEMship!B:B,MATCH(A261,[1]OEMship!A:A,0)),
                IFERROR(
                    INDEX([1]NV6ship!B:B,MATCH(A261,[1]NV6ship!A:A,0)),
                    IFERROR(
                        INDEX([1]NVship!B:B,MATCH(A261,[1]NVship!A:A,0)),
                        IFERROR(
                            INDEX([1]海ship!B:B,MATCH(A261,[1]海ship!A:A,0)),
                            IFERROR(
                                INDEX([1]ｾﾚship!B:B,MATCH(A261,[1]ｾﾚship!A:A,0)),
                                IFERROR(
                                    INDEX([1]ｾﾚﾓﾆｰ商品ship!B:B,MATCH(A261,[1]ｾﾚﾓﾆｰ商品ship!A:A,0)),
                                    INDEX([2]NV!D:D,MATCH(A261,[2]NV!C:C,0))
                                )
                            )
                        )
                    )
                )
            )
        )
    )
)</f>
        <v>プニラバTG 100g 青色グローラメ</v>
      </c>
      <c r="C261" s="4" t="s">
        <v>0</v>
      </c>
      <c r="D261" s="10" t="str">
        <f t="shared" si="12"/>
        <v>プニラバTG 100g 青色グローラメ ｜ 1F釣具部屋【04】 ｜ F</v>
      </c>
      <c r="E261" s="11" t="str">
        <f t="shared" si="13"/>
        <v>1F釣具部屋</v>
      </c>
      <c r="F261" s="12" t="s">
        <v>800</v>
      </c>
      <c r="G261" s="11" t="str">
        <f t="shared" si="14"/>
        <v>04・1F釣具部屋F</v>
      </c>
      <c r="H261" s="3"/>
    </row>
    <row r="262" spans="1:8" ht="15" customHeight="1" x14ac:dyDescent="0.2">
      <c r="A262" s="10" t="s">
        <v>330</v>
      </c>
      <c r="B262" s="10" t="str">
        <f>IFERROR(
    INDEX([1]FSHIP!B:B,MATCH(A262,[1]FSHIP!A:A,0)),
    IFERROR(
        INDEX([1]釣具商品ship!B:B,MATCH(A262,[1]釣具商品ship!A:A,0)),
        IFERROR(
            INDEX([1]玩具商品ship!B:B,MATCH(A262,[1]玩具商品ship!A:A,0)),
            IFERROR(
                INDEX([1]OEMship!B:B,MATCH(A262,[1]OEMship!A:A,0)),
                IFERROR(
                    INDEX([1]NV6ship!B:B,MATCH(A262,[1]NV6ship!A:A,0)),
                    IFERROR(
                        INDEX([1]NVship!B:B,MATCH(A262,[1]NVship!A:A,0)),
                        IFERROR(
                            INDEX([1]海ship!B:B,MATCH(A262,[1]海ship!A:A,0)),
                            IFERROR(
                                INDEX([1]ｾﾚship!B:B,MATCH(A262,[1]ｾﾚship!A:A,0)),
                                IFERROR(
                                    INDEX([1]ｾﾚﾓﾆｰ商品ship!B:B,MATCH(A262,[1]ｾﾚﾓﾆｰ商品ship!A:A,0)),
                                    INDEX([2]NV!D:D,MATCH(A262,[2]NV!C:C,0))
                                )
                            )
                        )
                    )
                )
            )
        )
    )
)</f>
        <v>プニラバTG 100g パンプキン</v>
      </c>
      <c r="C262" s="4" t="s">
        <v>0</v>
      </c>
      <c r="D262" s="10" t="str">
        <f t="shared" si="12"/>
        <v>プニラバTG 100g パンプキン ｜ 1F釣具部屋【04】 ｜ F</v>
      </c>
      <c r="E262" s="11" t="str">
        <f t="shared" si="13"/>
        <v>1F釣具部屋</v>
      </c>
      <c r="F262" s="12" t="s">
        <v>800</v>
      </c>
      <c r="G262" s="11" t="str">
        <f t="shared" si="14"/>
        <v>04・1F釣具部屋F</v>
      </c>
      <c r="H262" s="3"/>
    </row>
    <row r="263" spans="1:8" ht="15" customHeight="1" x14ac:dyDescent="0.2">
      <c r="A263" s="10" t="s">
        <v>335</v>
      </c>
      <c r="B263" s="10" t="str">
        <f>IFERROR(
    INDEX([1]FSHIP!B:B,MATCH(A263,[1]FSHIP!A:A,0)),
    IFERROR(
        INDEX([1]釣具商品ship!B:B,MATCH(A263,[1]釣具商品ship!A:A,0)),
        IFERROR(
            INDEX([1]玩具商品ship!B:B,MATCH(A263,[1]玩具商品ship!A:A,0)),
            IFERROR(
                INDEX([1]OEMship!B:B,MATCH(A263,[1]OEMship!A:A,0)),
                IFERROR(
                    INDEX([1]NV6ship!B:B,MATCH(A263,[1]NV6ship!A:A,0)),
                    IFERROR(
                        INDEX([1]NVship!B:B,MATCH(A263,[1]NVship!A:A,0)),
                        IFERROR(
                            INDEX([1]海ship!B:B,MATCH(A263,[1]海ship!A:A,0)),
                            IFERROR(
                                INDEX([1]ｾﾚship!B:B,MATCH(A263,[1]ｾﾚship!A:A,0)),
                                IFERROR(
                                    INDEX([1]ｾﾚﾓﾆｰ商品ship!B:B,MATCH(A263,[1]ｾﾚﾓﾆｰ商品ship!A:A,0)),
                                    INDEX([2]NV!D:D,MATCH(A263,[2]NV!C:C,0))
                                )
                            )
                        )
                    )
                )
            )
        )
    )
)</f>
        <v>プニラバTG 100g チャートリュース</v>
      </c>
      <c r="C263" s="4" t="s">
        <v>0</v>
      </c>
      <c r="D263" s="10" t="str">
        <f t="shared" si="12"/>
        <v>プニラバTG 100g チャートリュース ｜ 1F釣具部屋【04】 ｜ F</v>
      </c>
      <c r="E263" s="11" t="str">
        <f t="shared" si="13"/>
        <v>1F釣具部屋</v>
      </c>
      <c r="F263" s="12" t="s">
        <v>800</v>
      </c>
      <c r="G263" s="11" t="str">
        <f t="shared" si="14"/>
        <v>04・1F釣具部屋F</v>
      </c>
      <c r="H263" s="3"/>
    </row>
    <row r="264" spans="1:8" ht="15" customHeight="1" x14ac:dyDescent="0.2">
      <c r="A264" s="10" t="s">
        <v>336</v>
      </c>
      <c r="B264" s="10" t="str">
        <f>IFERROR(
    INDEX([1]FSHIP!B:B,MATCH(A264,[1]FSHIP!A:A,0)),
    IFERROR(
        INDEX([1]釣具商品ship!B:B,MATCH(A264,[1]釣具商品ship!A:A,0)),
        IFERROR(
            INDEX([1]玩具商品ship!B:B,MATCH(A264,[1]玩具商品ship!A:A,0)),
            IFERROR(
                INDEX([1]OEMship!B:B,MATCH(A264,[1]OEMship!A:A,0)),
                IFERROR(
                    INDEX([1]NV6ship!B:B,MATCH(A264,[1]NV6ship!A:A,0)),
                    IFERROR(
                        INDEX([1]NVship!B:B,MATCH(A264,[1]NVship!A:A,0)),
                        IFERROR(
                            INDEX([1]海ship!B:B,MATCH(A264,[1]海ship!A:A,0)),
                            IFERROR(
                                INDEX([1]ｾﾚship!B:B,MATCH(A264,[1]ｾﾚship!A:A,0)),
                                IFERROR(
                                    INDEX([1]ｾﾚﾓﾆｰ商品ship!B:B,MATCH(A264,[1]ｾﾚﾓﾆｰ商品ship!A:A,0)),
                                    INDEX([2]NV!D:D,MATCH(A264,[2]NV!C:C,0))
                                )
                            )
                        )
                    )
                )
            )
        )
    )
)</f>
        <v>プニラバTG 100g UV-ピンク</v>
      </c>
      <c r="C264" s="4" t="s">
        <v>0</v>
      </c>
      <c r="D264" s="10" t="str">
        <f t="shared" si="12"/>
        <v>プニラバTG 100g UV-ピンク ｜ 1F釣具部屋【04】 ｜ F</v>
      </c>
      <c r="E264" s="11" t="str">
        <f t="shared" si="13"/>
        <v>1F釣具部屋</v>
      </c>
      <c r="F264" s="12" t="s">
        <v>800</v>
      </c>
      <c r="G264" s="11" t="str">
        <f t="shared" si="14"/>
        <v>04・1F釣具部屋F</v>
      </c>
      <c r="H264" s="3"/>
    </row>
    <row r="265" spans="1:8" ht="15" customHeight="1" x14ac:dyDescent="0.2">
      <c r="A265" s="10" t="s">
        <v>343</v>
      </c>
      <c r="B265" s="10" t="str">
        <f>IFERROR(
    INDEX([1]FSHIP!B:B,MATCH(A265,[1]FSHIP!A:A,0)),
    IFERROR(
        INDEX([1]釣具商品ship!B:B,MATCH(A265,[1]釣具商品ship!A:A,0)),
        IFERROR(
            INDEX([1]玩具商品ship!B:B,MATCH(A265,[1]玩具商品ship!A:A,0)),
            IFERROR(
                INDEX([1]OEMship!B:B,MATCH(A265,[1]OEMship!A:A,0)),
                IFERROR(
                    INDEX([1]NV6ship!B:B,MATCH(A265,[1]NV6ship!A:A,0)),
                    IFERROR(
                        INDEX([1]NVship!B:B,MATCH(A265,[1]NVship!A:A,0)),
                        IFERROR(
                            INDEX([1]海ship!B:B,MATCH(A265,[1]海ship!A:A,0)),
                            IFERROR(
                                INDEX([1]ｾﾚship!B:B,MATCH(A265,[1]ｾﾚship!A:A,0)),
                                IFERROR(
                                    INDEX([1]ｾﾚﾓﾆｰ商品ship!B:B,MATCH(A265,[1]ｾﾚﾓﾆｰ商品ship!A:A,0)),
                                    INDEX([2]NV!D:D,MATCH(A265,[2]NV!C:C,0))
                                )
                            )
                        )
                    )
                )
            )
        )
    )
)</f>
        <v>プニラバTG 100g UV-オレンジ</v>
      </c>
      <c r="C265" s="4" t="s">
        <v>0</v>
      </c>
      <c r="D265" s="10" t="str">
        <f t="shared" si="12"/>
        <v>プニラバTG 100g UV-オレンジ ｜ 1F釣具部屋【04】 ｜ F</v>
      </c>
      <c r="E265" s="11" t="str">
        <f t="shared" si="13"/>
        <v>1F釣具部屋</v>
      </c>
      <c r="F265" s="12" t="s">
        <v>800</v>
      </c>
      <c r="G265" s="11" t="str">
        <f t="shared" si="14"/>
        <v>04・1F釣具部屋F</v>
      </c>
      <c r="H265" s="3"/>
    </row>
    <row r="266" spans="1:8" ht="15" customHeight="1" x14ac:dyDescent="0.2">
      <c r="A266" s="10" t="s">
        <v>344</v>
      </c>
      <c r="B266" s="10" t="str">
        <f>IFERROR(
    INDEX([1]FSHIP!B:B,MATCH(A266,[1]FSHIP!A:A,0)),
    IFERROR(
        INDEX([1]釣具商品ship!B:B,MATCH(A266,[1]釣具商品ship!A:A,0)),
        IFERROR(
            INDEX([1]玩具商品ship!B:B,MATCH(A266,[1]玩具商品ship!A:A,0)),
            IFERROR(
                INDEX([1]OEMship!B:B,MATCH(A266,[1]OEMship!A:A,0)),
                IFERROR(
                    INDEX([1]NV6ship!B:B,MATCH(A266,[1]NV6ship!A:A,0)),
                    IFERROR(
                        INDEX([1]NVship!B:B,MATCH(A266,[1]NVship!A:A,0)),
                        IFERROR(
                            INDEX([1]海ship!B:B,MATCH(A266,[1]海ship!A:A,0)),
                            IFERROR(
                                INDEX([1]ｾﾚship!B:B,MATCH(A266,[1]ｾﾚship!A:A,0)),
                                IFERROR(
                                    INDEX([1]ｾﾚﾓﾆｰ商品ship!B:B,MATCH(A266,[1]ｾﾚﾓﾆｰ商品ship!A:A,0)),
                                    INDEX([2]NV!D:D,MATCH(A266,[2]NV!C:C,0))
                                )
                            )
                        )
                    )
                )
            )
        )
    )
)</f>
        <v>プニラバTG 100g UV-レッド</v>
      </c>
      <c r="C266" s="4" t="s">
        <v>0</v>
      </c>
      <c r="D266" s="10" t="str">
        <f t="shared" si="12"/>
        <v>プニラバTG 100g UV-レッド ｜ 1F釣具部屋【04】 ｜ F</v>
      </c>
      <c r="E266" s="11" t="str">
        <f t="shared" si="13"/>
        <v>1F釣具部屋</v>
      </c>
      <c r="F266" s="12" t="s">
        <v>800</v>
      </c>
      <c r="G266" s="11" t="str">
        <f t="shared" si="14"/>
        <v>04・1F釣具部屋F</v>
      </c>
      <c r="H266" s="3"/>
    </row>
    <row r="267" spans="1:8" ht="15" customHeight="1" x14ac:dyDescent="0.2">
      <c r="A267" s="10" t="s">
        <v>347</v>
      </c>
      <c r="B267" s="10" t="str">
        <f>IFERROR(
    INDEX([1]FSHIP!B:B,MATCH(A267,[1]FSHIP!A:A,0)),
    IFERROR(
        INDEX([1]釣具商品ship!B:B,MATCH(A267,[1]釣具商品ship!A:A,0)),
        IFERROR(
            INDEX([1]玩具商品ship!B:B,MATCH(A267,[1]玩具商品ship!A:A,0)),
            IFERROR(
                INDEX([1]OEMship!B:B,MATCH(A267,[1]OEMship!A:A,0)),
                IFERROR(
                    INDEX([1]NV6ship!B:B,MATCH(A267,[1]NV6ship!A:A,0)),
                    IFERROR(
                        INDEX([1]NVship!B:B,MATCH(A267,[1]NVship!A:A,0)),
                        IFERROR(
                            INDEX([1]海ship!B:B,MATCH(A267,[1]海ship!A:A,0)),
                            IFERROR(
                                INDEX([1]ｾﾚship!B:B,MATCH(A267,[1]ｾﾚship!A:A,0)),
                                IFERROR(
                                    INDEX([1]ｾﾚﾓﾆｰ商品ship!B:B,MATCH(A267,[1]ｾﾚﾓﾆｰ商品ship!A:A,0)),
                                    INDEX([2]NV!D:D,MATCH(A267,[2]NV!C:C,0))
                                )
                            )
                        )
                    )
                )
            )
        )
    )
)</f>
        <v>TG交換用ｲｶｽｰﾂ(S)緑色ｸﾞﾛｰﾗﾒ</v>
      </c>
      <c r="C267" s="4" t="s">
        <v>0</v>
      </c>
      <c r="D267" s="10" t="str">
        <f t="shared" si="12"/>
        <v>TG交換用ｲｶｽｰﾂ(S)緑色ｸﾞﾛｰﾗﾒ ｜ 1F釣具部屋【04】 ｜ F</v>
      </c>
      <c r="E267" s="11" t="str">
        <f t="shared" si="13"/>
        <v>1F釣具部屋</v>
      </c>
      <c r="F267" s="12" t="s">
        <v>800</v>
      </c>
      <c r="G267" s="11" t="str">
        <f t="shared" si="14"/>
        <v>04・1F釣具部屋F</v>
      </c>
      <c r="H267" s="3"/>
    </row>
    <row r="268" spans="1:8" ht="15" customHeight="1" x14ac:dyDescent="0.2">
      <c r="A268" s="10" t="s">
        <v>346</v>
      </c>
      <c r="B268" s="10" t="str">
        <f>IFERROR(
    INDEX([1]FSHIP!B:B,MATCH(A268,[1]FSHIP!A:A,0)),
    IFERROR(
        INDEX([1]釣具商品ship!B:B,MATCH(A268,[1]釣具商品ship!A:A,0)),
        IFERROR(
            INDEX([1]玩具商品ship!B:B,MATCH(A268,[1]玩具商品ship!A:A,0)),
            IFERROR(
                INDEX([1]OEMship!B:B,MATCH(A268,[1]OEMship!A:A,0)),
                IFERROR(
                    INDEX([1]NV6ship!B:B,MATCH(A268,[1]NV6ship!A:A,0)),
                    IFERROR(
                        INDEX([1]NVship!B:B,MATCH(A268,[1]NVship!A:A,0)),
                        IFERROR(
                            INDEX([1]海ship!B:B,MATCH(A268,[1]海ship!A:A,0)),
                            IFERROR(
                                INDEX([1]ｾﾚship!B:B,MATCH(A268,[1]ｾﾚship!A:A,0)),
                                IFERROR(
                                    INDEX([1]ｾﾚﾓﾆｰ商品ship!B:B,MATCH(A268,[1]ｾﾚﾓﾆｰ商品ship!A:A,0)),
                                    INDEX([2]NV!D:D,MATCH(A268,[2]NV!C:C,0))
                                )
                            )
                        )
                    )
                )
            )
        )
    )
)</f>
        <v>TG交換用ｲｶｽｰﾂ(S)青色ｸﾞﾛｰﾗﾒ</v>
      </c>
      <c r="C268" s="4" t="s">
        <v>0</v>
      </c>
      <c r="D268" s="10" t="str">
        <f t="shared" si="12"/>
        <v>TG交換用ｲｶｽｰﾂ(S)青色ｸﾞﾛｰﾗﾒ ｜ 1F釣具部屋【04】 ｜ F</v>
      </c>
      <c r="E268" s="11" t="str">
        <f t="shared" si="13"/>
        <v>1F釣具部屋</v>
      </c>
      <c r="F268" s="12" t="s">
        <v>800</v>
      </c>
      <c r="G268" s="11" t="str">
        <f t="shared" si="14"/>
        <v>04・1F釣具部屋F</v>
      </c>
      <c r="H268" s="3"/>
    </row>
    <row r="269" spans="1:8" ht="15" customHeight="1" x14ac:dyDescent="0.2">
      <c r="A269" s="10" t="s">
        <v>345</v>
      </c>
      <c r="B269" s="10" t="str">
        <f>IFERROR(
    INDEX([1]FSHIP!B:B,MATCH(A269,[1]FSHIP!A:A,0)),
    IFERROR(
        INDEX([1]釣具商品ship!B:B,MATCH(A269,[1]釣具商品ship!A:A,0)),
        IFERROR(
            INDEX([1]玩具商品ship!B:B,MATCH(A269,[1]玩具商品ship!A:A,0)),
            IFERROR(
                INDEX([1]OEMship!B:B,MATCH(A269,[1]OEMship!A:A,0)),
                IFERROR(
                    INDEX([1]NV6ship!B:B,MATCH(A269,[1]NV6ship!A:A,0)),
                    IFERROR(
                        INDEX([1]NVship!B:B,MATCH(A269,[1]NVship!A:A,0)),
                        IFERROR(
                            INDEX([1]海ship!B:B,MATCH(A269,[1]海ship!A:A,0)),
                            IFERROR(
                                INDEX([1]ｾﾚship!B:B,MATCH(A269,[1]ｾﾚship!A:A,0)),
                                IFERROR(
                                    INDEX([1]ｾﾚﾓﾆｰ商品ship!B:B,MATCH(A269,[1]ｾﾚﾓﾆｰ商品ship!A:A,0)),
                                    INDEX([2]NV!D:D,MATCH(A269,[2]NV!C:C,0))
                                )
                            )
                        )
                    )
                )
            )
        )
    )
)</f>
        <v>TG交換用ｲｶｽｰﾂ(S)ﾊﾟﾝﾌﾟｷﾝ</v>
      </c>
      <c r="C269" s="4" t="s">
        <v>0</v>
      </c>
      <c r="D269" s="10" t="str">
        <f t="shared" si="12"/>
        <v>TG交換用ｲｶｽｰﾂ(S)ﾊﾟﾝﾌﾟｷﾝ ｜ 1F釣具部屋【04】 ｜ F</v>
      </c>
      <c r="E269" s="11" t="str">
        <f t="shared" si="13"/>
        <v>1F釣具部屋</v>
      </c>
      <c r="F269" s="12" t="s">
        <v>800</v>
      </c>
      <c r="G269" s="11" t="str">
        <f t="shared" si="14"/>
        <v>04・1F釣具部屋F</v>
      </c>
      <c r="H269" s="3"/>
    </row>
    <row r="270" spans="1:8" ht="15" customHeight="1" x14ac:dyDescent="0.2">
      <c r="A270" s="10" t="s">
        <v>349</v>
      </c>
      <c r="B270" s="10" t="str">
        <f>IFERROR(
    INDEX([1]FSHIP!B:B,MATCH(A270,[1]FSHIP!A:A,0)),
    IFERROR(
        INDEX([1]釣具商品ship!B:B,MATCH(A270,[1]釣具商品ship!A:A,0)),
        IFERROR(
            INDEX([1]玩具商品ship!B:B,MATCH(A270,[1]玩具商品ship!A:A,0)),
            IFERROR(
                INDEX([1]OEMship!B:B,MATCH(A270,[1]OEMship!A:A,0)),
                IFERROR(
                    INDEX([1]NV6ship!B:B,MATCH(A270,[1]NV6ship!A:A,0)),
                    IFERROR(
                        INDEX([1]NVship!B:B,MATCH(A270,[1]NVship!A:A,0)),
                        IFERROR(
                            INDEX([1]海ship!B:B,MATCH(A270,[1]海ship!A:A,0)),
                            IFERROR(
                                INDEX([1]ｾﾚship!B:B,MATCH(A270,[1]ｾﾚship!A:A,0)),
                                IFERROR(
                                    INDEX([1]ｾﾚﾓﾆｰ商品ship!B:B,MATCH(A270,[1]ｾﾚﾓﾆｰ商品ship!A:A,0)),
                                    INDEX([2]NV!D:D,MATCH(A270,[2]NV!C:C,0))
                                )
                            )
                        )
                    )
                )
            )
        )
    )
)</f>
        <v>TG交換用ｲｶｽｰﾂ(S)ﾁｬｰﾄﾘｭｰｽ</v>
      </c>
      <c r="C270" s="4" t="s">
        <v>0</v>
      </c>
      <c r="D270" s="10" t="str">
        <f t="shared" si="12"/>
        <v>TG交換用ｲｶｽｰﾂ(S)ﾁｬｰﾄﾘｭｰｽ ｜ 1F釣具部屋【04】 ｜ F</v>
      </c>
      <c r="E270" s="11" t="str">
        <f t="shared" si="13"/>
        <v>1F釣具部屋</v>
      </c>
      <c r="F270" s="12" t="s">
        <v>800</v>
      </c>
      <c r="G270" s="11" t="str">
        <f t="shared" si="14"/>
        <v>04・1F釣具部屋F</v>
      </c>
      <c r="H270" s="3"/>
    </row>
    <row r="271" spans="1:8" ht="15" customHeight="1" x14ac:dyDescent="0.2">
      <c r="A271" s="10" t="s">
        <v>350</v>
      </c>
      <c r="B271" s="10" t="str">
        <f>IFERROR(
    INDEX([1]FSHIP!B:B,MATCH(A271,[1]FSHIP!A:A,0)),
    IFERROR(
        INDEX([1]釣具商品ship!B:B,MATCH(A271,[1]釣具商品ship!A:A,0)),
        IFERROR(
            INDEX([1]玩具商品ship!B:B,MATCH(A271,[1]玩具商品ship!A:A,0)),
            IFERROR(
                INDEX([1]OEMship!B:B,MATCH(A271,[1]OEMship!A:A,0)),
                IFERROR(
                    INDEX([1]NV6ship!B:B,MATCH(A271,[1]NV6ship!A:A,0)),
                    IFERROR(
                        INDEX([1]NVship!B:B,MATCH(A271,[1]NVship!A:A,0)),
                        IFERROR(
                            INDEX([1]海ship!B:B,MATCH(A271,[1]海ship!A:A,0)),
                            IFERROR(
                                INDEX([1]ｾﾚship!B:B,MATCH(A271,[1]ｾﾚship!A:A,0)),
                                IFERROR(
                                    INDEX([1]ｾﾚﾓﾆｰ商品ship!B:B,MATCH(A271,[1]ｾﾚﾓﾆｰ商品ship!A:A,0)),
                                    INDEX([2]NV!D:D,MATCH(A271,[2]NV!C:C,0))
                                )
                            )
                        )
                    )
                )
            )
        )
    )
)</f>
        <v>TG交換用ｲｶｽｰﾂ(S)UV-ﾋﾟﾝｸ</v>
      </c>
      <c r="C271" s="4" t="s">
        <v>0</v>
      </c>
      <c r="D271" s="10" t="str">
        <f t="shared" si="12"/>
        <v>TG交換用ｲｶｽｰﾂ(S)UV-ﾋﾟﾝｸ ｜ 1F釣具部屋【04】 ｜ F</v>
      </c>
      <c r="E271" s="11" t="str">
        <f t="shared" si="13"/>
        <v>1F釣具部屋</v>
      </c>
      <c r="F271" s="12" t="s">
        <v>800</v>
      </c>
      <c r="G271" s="11" t="str">
        <f t="shared" si="14"/>
        <v>04・1F釣具部屋F</v>
      </c>
      <c r="H271" s="3"/>
    </row>
    <row r="272" spans="1:8" ht="15" customHeight="1" x14ac:dyDescent="0.2">
      <c r="A272" s="10" t="s">
        <v>351</v>
      </c>
      <c r="B272" s="10" t="str">
        <f>IFERROR(
    INDEX([1]FSHIP!B:B,MATCH(A272,[1]FSHIP!A:A,0)),
    IFERROR(
        INDEX([1]釣具商品ship!B:B,MATCH(A272,[1]釣具商品ship!A:A,0)),
        IFERROR(
            INDEX([1]玩具商品ship!B:B,MATCH(A272,[1]玩具商品ship!A:A,0)),
            IFERROR(
                INDEX([1]OEMship!B:B,MATCH(A272,[1]OEMship!A:A,0)),
                IFERROR(
                    INDEX([1]NV6ship!B:B,MATCH(A272,[1]NV6ship!A:A,0)),
                    IFERROR(
                        INDEX([1]NVship!B:B,MATCH(A272,[1]NVship!A:A,0)),
                        IFERROR(
                            INDEX([1]海ship!B:B,MATCH(A272,[1]海ship!A:A,0)),
                            IFERROR(
                                INDEX([1]ｾﾚship!B:B,MATCH(A272,[1]ｾﾚship!A:A,0)),
                                IFERROR(
                                    INDEX([1]ｾﾚﾓﾆｰ商品ship!B:B,MATCH(A272,[1]ｾﾚﾓﾆｰ商品ship!A:A,0)),
                                    INDEX([2]NV!D:D,MATCH(A272,[2]NV!C:C,0))
                                )
                            )
                        )
                    )
                )
            )
        )
    )
)</f>
        <v>TG交換用ｲｶｽｰﾂ(S)UV-ｵﾚﾝｼﾞ</v>
      </c>
      <c r="C272" s="4" t="s">
        <v>0</v>
      </c>
      <c r="D272" s="10" t="str">
        <f t="shared" si="12"/>
        <v>TG交換用ｲｶｽｰﾂ(S)UV-ｵﾚﾝｼﾞ ｜ 1F釣具部屋【04】 ｜ F</v>
      </c>
      <c r="E272" s="11" t="str">
        <f t="shared" si="13"/>
        <v>1F釣具部屋</v>
      </c>
      <c r="F272" s="12" t="s">
        <v>800</v>
      </c>
      <c r="G272" s="11" t="str">
        <f t="shared" si="14"/>
        <v>04・1F釣具部屋F</v>
      </c>
      <c r="H272" s="3"/>
    </row>
    <row r="273" spans="1:8" ht="15" customHeight="1" x14ac:dyDescent="0.2">
      <c r="A273" s="10" t="s">
        <v>348</v>
      </c>
      <c r="B273" s="10" t="str">
        <f>IFERROR(
    INDEX([1]FSHIP!B:B,MATCH(A273,[1]FSHIP!A:A,0)),
    IFERROR(
        INDEX([1]釣具商品ship!B:B,MATCH(A273,[1]釣具商品ship!A:A,0)),
        IFERROR(
            INDEX([1]玩具商品ship!B:B,MATCH(A273,[1]玩具商品ship!A:A,0)),
            IFERROR(
                INDEX([1]OEMship!B:B,MATCH(A273,[1]OEMship!A:A,0)),
                IFERROR(
                    INDEX([1]NV6ship!B:B,MATCH(A273,[1]NV6ship!A:A,0)),
                    IFERROR(
                        INDEX([1]NVship!B:B,MATCH(A273,[1]NVship!A:A,0)),
                        IFERROR(
                            INDEX([1]海ship!B:B,MATCH(A273,[1]海ship!A:A,0)),
                            IFERROR(
                                INDEX([1]ｾﾚship!B:B,MATCH(A273,[1]ｾﾚship!A:A,0)),
                                IFERROR(
                                    INDEX([1]ｾﾚﾓﾆｰ商品ship!B:B,MATCH(A273,[1]ｾﾚﾓﾆｰ商品ship!A:A,0)),
                                    INDEX([2]NV!D:D,MATCH(A273,[2]NV!C:C,0))
                                )
                            )
                        )
                    )
                )
            )
        )
    )
)</f>
        <v>TG交換用ｲｶｽｰﾂ(S)UV-ｸﾘｱ</v>
      </c>
      <c r="C273" s="4" t="s">
        <v>0</v>
      </c>
      <c r="D273" s="10" t="str">
        <f t="shared" si="12"/>
        <v>TG交換用ｲｶｽｰﾂ(S)UV-ｸﾘｱ ｜ 1F釣具部屋【04】 ｜ F</v>
      </c>
      <c r="E273" s="11" t="str">
        <f t="shared" si="13"/>
        <v>1F釣具部屋</v>
      </c>
      <c r="F273" s="12" t="s">
        <v>800</v>
      </c>
      <c r="G273" s="11" t="str">
        <f t="shared" si="14"/>
        <v>04・1F釣具部屋F</v>
      </c>
      <c r="H273" s="3"/>
    </row>
    <row r="274" spans="1:8" ht="15" customHeight="1" x14ac:dyDescent="0.2">
      <c r="A274" s="10" t="s">
        <v>285</v>
      </c>
      <c r="B274" s="10" t="str">
        <f>IFERROR(
    INDEX([1]FSHIP!B:B,MATCH(A274,[1]FSHIP!A:A,0)),
    IFERROR(
        INDEX([1]釣具商品ship!B:B,MATCH(A274,[1]釣具商品ship!A:A,0)),
        IFERROR(
            INDEX([1]玩具商品ship!B:B,MATCH(A274,[1]玩具商品ship!A:A,0)),
            IFERROR(
                INDEX([1]OEMship!B:B,MATCH(A274,[1]OEMship!A:A,0)),
                IFERROR(
                    INDEX([1]NV6ship!B:B,MATCH(A274,[1]NV6ship!A:A,0)),
                    IFERROR(
                        INDEX([1]NVship!B:B,MATCH(A274,[1]NVship!A:A,0)),
                        IFERROR(
                            INDEX([1]海ship!B:B,MATCH(A274,[1]海ship!A:A,0)),
                            IFERROR(
                                INDEX([1]ｾﾚship!B:B,MATCH(A274,[1]ｾﾚship!A:A,0)),
                                IFERROR(
                                    INDEX([1]ｾﾚﾓﾆｰ商品ship!B:B,MATCH(A274,[1]ｾﾚﾓﾆｰ商品ship!A:A,0)),
                                    INDEX([2]NV!D:D,MATCH(A274,[2]NV!C:C,0))
                                )
                            )
                        )
                    )
                )
            )
        )
    )
)</f>
        <v>タコディギ2.5号　ゴースト</v>
      </c>
      <c r="C274" s="4" t="s">
        <v>1</v>
      </c>
      <c r="D274" s="10" t="str">
        <f t="shared" si="12"/>
        <v>タコディギ2.5号　ゴースト ｜ 1F釣具部屋【04】 ｜ L</v>
      </c>
      <c r="E274" s="11" t="str">
        <f t="shared" si="13"/>
        <v>1F釣具部屋</v>
      </c>
      <c r="F274" s="12" t="s">
        <v>21</v>
      </c>
      <c r="G274" s="11" t="str">
        <f t="shared" si="14"/>
        <v>04・1F釣具部屋L</v>
      </c>
      <c r="H274" s="3"/>
    </row>
    <row r="275" spans="1:8" ht="15" customHeight="1" x14ac:dyDescent="0.2">
      <c r="A275" s="10" t="s">
        <v>291</v>
      </c>
      <c r="B275" s="10" t="str">
        <f>IFERROR(
    INDEX([1]FSHIP!B:B,MATCH(A275,[1]FSHIP!A:A,0)),
    IFERROR(
        INDEX([1]釣具商品ship!B:B,MATCH(A275,[1]釣具商品ship!A:A,0)),
        IFERROR(
            INDEX([1]玩具商品ship!B:B,MATCH(A275,[1]玩具商品ship!A:A,0)),
            IFERROR(
                INDEX([1]OEMship!B:B,MATCH(A275,[1]OEMship!A:A,0)),
                IFERROR(
                    INDEX([1]NV6ship!B:B,MATCH(A275,[1]NV6ship!A:A,0)),
                    IFERROR(
                        INDEX([1]NVship!B:B,MATCH(A275,[1]NVship!A:A,0)),
                        IFERROR(
                            INDEX([1]海ship!B:B,MATCH(A275,[1]海ship!A:A,0)),
                            IFERROR(
                                INDEX([1]ｾﾚship!B:B,MATCH(A275,[1]ｾﾚship!A:A,0)),
                                IFERROR(
                                    INDEX([1]ｾﾚﾓﾆｰ商品ship!B:B,MATCH(A275,[1]ｾﾚﾓﾆｰ商品ship!A:A,0)),
                                    INDEX([2]NV!D:D,MATCH(A275,[2]NV!C:C,0))
                                )
                            )
                        )
                    )
                )
            )
        )
    )
)</f>
        <v>タコディギ2.5号　ハッピーシュリンプ</v>
      </c>
      <c r="C275" s="4" t="s">
        <v>1</v>
      </c>
      <c r="D275" s="10" t="str">
        <f t="shared" si="12"/>
        <v>タコディギ2.5号　ハッピーシュリンプ ｜ 1F釣具部屋【04】 ｜ L</v>
      </c>
      <c r="E275" s="11" t="str">
        <f t="shared" si="13"/>
        <v>1F釣具部屋</v>
      </c>
      <c r="F275" s="12" t="s">
        <v>21</v>
      </c>
      <c r="G275" s="11" t="str">
        <f t="shared" si="14"/>
        <v>04・1F釣具部屋L</v>
      </c>
      <c r="H275" s="3"/>
    </row>
    <row r="276" spans="1:8" ht="15" customHeight="1" x14ac:dyDescent="0.2">
      <c r="A276" s="10" t="s">
        <v>284</v>
      </c>
      <c r="B276" s="10" t="str">
        <f>IFERROR(
    INDEX([1]FSHIP!B:B,MATCH(A276,[1]FSHIP!A:A,0)),
    IFERROR(
        INDEX([1]釣具商品ship!B:B,MATCH(A276,[1]釣具商品ship!A:A,0)),
        IFERROR(
            INDEX([1]玩具商品ship!B:B,MATCH(A276,[1]玩具商品ship!A:A,0)),
            IFERROR(
                INDEX([1]OEMship!B:B,MATCH(A276,[1]OEMship!A:A,0)),
                IFERROR(
                    INDEX([1]NV6ship!B:B,MATCH(A276,[1]NV6ship!A:A,0)),
                    IFERROR(
                        INDEX([1]NVship!B:B,MATCH(A276,[1]NVship!A:A,0)),
                        IFERROR(
                            INDEX([1]海ship!B:B,MATCH(A276,[1]海ship!A:A,0)),
                            IFERROR(
                                INDEX([1]ｾﾚship!B:B,MATCH(A276,[1]ｾﾚship!A:A,0)),
                                IFERROR(
                                    INDEX([1]ｾﾚﾓﾆｰ商品ship!B:B,MATCH(A276,[1]ｾﾚﾓﾆｰ商品ship!A:A,0)),
                                    INDEX([2]NV!D:D,MATCH(A276,[2]NV!C:C,0))
                                )
                            )
                        )
                    )
                )
            )
        )
    )
)</f>
        <v>タコディギ2.5号   グロー</v>
      </c>
      <c r="C276" s="4" t="s">
        <v>1</v>
      </c>
      <c r="D276" s="10" t="str">
        <f t="shared" si="12"/>
        <v>タコディギ2.5号   グロー ｜ 1F釣具部屋【04】 ｜ L</v>
      </c>
      <c r="E276" s="11" t="str">
        <f t="shared" si="13"/>
        <v>1F釣具部屋</v>
      </c>
      <c r="F276" s="12" t="s">
        <v>21</v>
      </c>
      <c r="G276" s="11" t="str">
        <f t="shared" si="14"/>
        <v>04・1F釣具部屋L</v>
      </c>
      <c r="H276" s="3"/>
    </row>
    <row r="277" spans="1:8" ht="15" customHeight="1" x14ac:dyDescent="0.2">
      <c r="A277" s="10" t="s">
        <v>290</v>
      </c>
      <c r="B277" s="10" t="str">
        <f>IFERROR(
    INDEX([1]FSHIP!B:B,MATCH(A277,[1]FSHIP!A:A,0)),
    IFERROR(
        INDEX([1]釣具商品ship!B:B,MATCH(A277,[1]釣具商品ship!A:A,0)),
        IFERROR(
            INDEX([1]玩具商品ship!B:B,MATCH(A277,[1]玩具商品ship!A:A,0)),
            IFERROR(
                INDEX([1]OEMship!B:B,MATCH(A277,[1]OEMship!A:A,0)),
                IFERROR(
                    INDEX([1]NV6ship!B:B,MATCH(A277,[1]NV6ship!A:A,0)),
                    IFERROR(
                        INDEX([1]NVship!B:B,MATCH(A277,[1]NVship!A:A,0)),
                        IFERROR(
                            INDEX([1]海ship!B:B,MATCH(A277,[1]海ship!A:A,0)),
                            IFERROR(
                                INDEX([1]ｾﾚship!B:B,MATCH(A277,[1]ｾﾚship!A:A,0)),
                                IFERROR(
                                    INDEX([1]ｾﾚﾓﾆｰ商品ship!B:B,MATCH(A277,[1]ｾﾚﾓﾆｰ商品ship!A:A,0)),
                                    INDEX([2]NV!D:D,MATCH(A277,[2]NV!C:C,0))
                                )
                            )
                        )
                    )
                )
            )
        )
    )
)</f>
        <v>タコディギ2.5号　さくらもち</v>
      </c>
      <c r="C277" s="4" t="s">
        <v>1</v>
      </c>
      <c r="D277" s="10" t="str">
        <f t="shared" si="12"/>
        <v>タコディギ2.5号　さくらもち ｜ 1F釣具部屋【04】 ｜ L</v>
      </c>
      <c r="E277" s="11" t="str">
        <f t="shared" si="13"/>
        <v>1F釣具部屋</v>
      </c>
      <c r="F277" s="12" t="s">
        <v>21</v>
      </c>
      <c r="G277" s="11" t="str">
        <f t="shared" si="14"/>
        <v>04・1F釣具部屋L</v>
      </c>
      <c r="H277" s="3"/>
    </row>
    <row r="278" spans="1:8" ht="15" customHeight="1" x14ac:dyDescent="0.2">
      <c r="A278" s="10" t="s">
        <v>292</v>
      </c>
      <c r="B278" s="10" t="str">
        <f>IFERROR(
    INDEX([1]FSHIP!B:B,MATCH(A278,[1]FSHIP!A:A,0)),
    IFERROR(
        INDEX([1]釣具商品ship!B:B,MATCH(A278,[1]釣具商品ship!A:A,0)),
        IFERROR(
            INDEX([1]玩具商品ship!B:B,MATCH(A278,[1]玩具商品ship!A:A,0)),
            IFERROR(
                INDEX([1]OEMship!B:B,MATCH(A278,[1]OEMship!A:A,0)),
                IFERROR(
                    INDEX([1]NV6ship!B:B,MATCH(A278,[1]NV6ship!A:A,0)),
                    IFERROR(
                        INDEX([1]NVship!B:B,MATCH(A278,[1]NVship!A:A,0)),
                        IFERROR(
                            INDEX([1]海ship!B:B,MATCH(A278,[1]海ship!A:A,0)),
                            IFERROR(
                                INDEX([1]ｾﾚship!B:B,MATCH(A278,[1]ｾﾚship!A:A,0)),
                                IFERROR(
                                    INDEX([1]ｾﾚﾓﾆｰ商品ship!B:B,MATCH(A278,[1]ｾﾚﾓﾆｰ商品ship!A:A,0)),
                                    INDEX([2]NV!D:D,MATCH(A278,[2]NV!C:C,0))
                                )
                            )
                        )
                    )
                )
            )
        )
    )
)</f>
        <v>タコディギ2.5号　チャートイエロー</v>
      </c>
      <c r="C278" s="4" t="s">
        <v>1</v>
      </c>
      <c r="D278" s="10" t="str">
        <f t="shared" si="12"/>
        <v>タコディギ2.5号　チャートイエロー ｜ 1F釣具部屋【04】 ｜ L</v>
      </c>
      <c r="E278" s="11" t="str">
        <f t="shared" si="13"/>
        <v>1F釣具部屋</v>
      </c>
      <c r="F278" s="12" t="s">
        <v>21</v>
      </c>
      <c r="G278" s="11" t="str">
        <f t="shared" si="14"/>
        <v>04・1F釣具部屋L</v>
      </c>
      <c r="H278" s="3"/>
    </row>
    <row r="279" spans="1:8" ht="15" customHeight="1" x14ac:dyDescent="0.2">
      <c r="A279" s="10" t="s">
        <v>286</v>
      </c>
      <c r="B279" s="10" t="str">
        <f>IFERROR(
    INDEX([1]FSHIP!B:B,MATCH(A279,[1]FSHIP!A:A,0)),
    IFERROR(
        INDEX([1]釣具商品ship!B:B,MATCH(A279,[1]釣具商品ship!A:A,0)),
        IFERROR(
            INDEX([1]玩具商品ship!B:B,MATCH(A279,[1]玩具商品ship!A:A,0)),
            IFERROR(
                INDEX([1]OEMship!B:B,MATCH(A279,[1]OEMship!A:A,0)),
                IFERROR(
                    INDEX([1]NV6ship!B:B,MATCH(A279,[1]NV6ship!A:A,0)),
                    IFERROR(
                        INDEX([1]NVship!B:B,MATCH(A279,[1]NVship!A:A,0)),
                        IFERROR(
                            INDEX([1]海ship!B:B,MATCH(A279,[1]海ship!A:A,0)),
                            IFERROR(
                                INDEX([1]ｾﾚship!B:B,MATCH(A279,[1]ｾﾚship!A:A,0)),
                                IFERROR(
                                    INDEX([1]ｾﾚﾓﾆｰ商品ship!B:B,MATCH(A279,[1]ｾﾚﾓﾆｰ商品ship!A:A,0)),
                                    INDEX([2]NV!D:D,MATCH(A279,[2]NV!C:C,0))
                                )
                            )
                        )
                    )
                )
            )
        )
    )
)</f>
        <v>タコディギ2.5号　スイカ</v>
      </c>
      <c r="C279" s="4" t="s">
        <v>1</v>
      </c>
      <c r="D279" s="10" t="str">
        <f t="shared" si="12"/>
        <v>タコディギ2.5号　スイカ ｜ 1F釣具部屋【04】 ｜ L</v>
      </c>
      <c r="E279" s="11" t="str">
        <f t="shared" si="13"/>
        <v>1F釣具部屋</v>
      </c>
      <c r="F279" s="12" t="s">
        <v>21</v>
      </c>
      <c r="G279" s="11" t="str">
        <f t="shared" si="14"/>
        <v>04・1F釣具部屋L</v>
      </c>
      <c r="H279" s="3"/>
    </row>
    <row r="280" spans="1:8" ht="15" customHeight="1" x14ac:dyDescent="0.2">
      <c r="A280" s="10" t="s">
        <v>289</v>
      </c>
      <c r="B280" s="10" t="str">
        <f>IFERROR(
    INDEX([1]FSHIP!B:B,MATCH(A280,[1]FSHIP!A:A,0)),
    IFERROR(
        INDEX([1]釣具商品ship!B:B,MATCH(A280,[1]釣具商品ship!A:A,0)),
        IFERROR(
            INDEX([1]玩具商品ship!B:B,MATCH(A280,[1]玩具商品ship!A:A,0)),
            IFERROR(
                INDEX([1]OEMship!B:B,MATCH(A280,[1]OEMship!A:A,0)),
                IFERROR(
                    INDEX([1]NV6ship!B:B,MATCH(A280,[1]NV6ship!A:A,0)),
                    IFERROR(
                        INDEX([1]NVship!B:B,MATCH(A280,[1]NVship!A:A,0)),
                        IFERROR(
                            INDEX([1]海ship!B:B,MATCH(A280,[1]海ship!A:A,0)),
                            IFERROR(
                                INDEX([1]ｾﾚship!B:B,MATCH(A280,[1]ｾﾚship!A:A,0)),
                                IFERROR(
                                    INDEX([1]ｾﾚﾓﾆｰ商品ship!B:B,MATCH(A280,[1]ｾﾚﾓﾆｰ商品ship!A:A,0)),
                                    INDEX([2]NV!D:D,MATCH(A280,[2]NV!C:C,0))
                                )
                            )
                        )
                    )
                )
            )
        )
    )
)</f>
        <v>タコディギ3号　ゴースト</v>
      </c>
      <c r="C280" s="4" t="s">
        <v>1</v>
      </c>
      <c r="D280" s="10" t="str">
        <f t="shared" si="12"/>
        <v>タコディギ3号　ゴースト ｜ 1F釣具部屋【04】 ｜ L</v>
      </c>
      <c r="E280" s="11" t="str">
        <f t="shared" si="13"/>
        <v>1F釣具部屋</v>
      </c>
      <c r="F280" s="12" t="s">
        <v>21</v>
      </c>
      <c r="G280" s="11" t="str">
        <f t="shared" si="14"/>
        <v>04・1F釣具部屋L</v>
      </c>
      <c r="H280" s="3"/>
    </row>
    <row r="281" spans="1:8" ht="15" customHeight="1" x14ac:dyDescent="0.2">
      <c r="A281" s="10" t="s">
        <v>287</v>
      </c>
      <c r="B281" s="10" t="str">
        <f>IFERROR(
    INDEX([1]FSHIP!B:B,MATCH(A281,[1]FSHIP!A:A,0)),
    IFERROR(
        INDEX([1]釣具商品ship!B:B,MATCH(A281,[1]釣具商品ship!A:A,0)),
        IFERROR(
            INDEX([1]玩具商品ship!B:B,MATCH(A281,[1]玩具商品ship!A:A,0)),
            IFERROR(
                INDEX([1]OEMship!B:B,MATCH(A281,[1]OEMship!A:A,0)),
                IFERROR(
                    INDEX([1]NV6ship!B:B,MATCH(A281,[1]NV6ship!A:A,0)),
                    IFERROR(
                        INDEX([1]NVship!B:B,MATCH(A281,[1]NVship!A:A,0)),
                        IFERROR(
                            INDEX([1]海ship!B:B,MATCH(A281,[1]海ship!A:A,0)),
                            IFERROR(
                                INDEX([1]ｾﾚship!B:B,MATCH(A281,[1]ｾﾚship!A:A,0)),
                                IFERROR(
                                    INDEX([1]ｾﾚﾓﾆｰ商品ship!B:B,MATCH(A281,[1]ｾﾚﾓﾆｰ商品ship!A:A,0)),
                                    INDEX([2]NV!D:D,MATCH(A281,[2]NV!C:C,0))
                                )
                            )
                        )
                    )
                )
            )
        )
    )
)</f>
        <v>タコディギ3号　ハッピーシュリンプ</v>
      </c>
      <c r="C281" s="4" t="s">
        <v>1</v>
      </c>
      <c r="D281" s="10" t="str">
        <f t="shared" si="12"/>
        <v>タコディギ3号　ハッピーシュリンプ ｜ 1F釣具部屋【04】 ｜ L</v>
      </c>
      <c r="E281" s="11" t="str">
        <f t="shared" si="13"/>
        <v>1F釣具部屋</v>
      </c>
      <c r="F281" s="12" t="s">
        <v>21</v>
      </c>
      <c r="G281" s="11" t="str">
        <f t="shared" si="14"/>
        <v>04・1F釣具部屋L</v>
      </c>
      <c r="H281" s="3"/>
    </row>
    <row r="282" spans="1:8" ht="15" customHeight="1" x14ac:dyDescent="0.2">
      <c r="A282" s="10" t="s">
        <v>288</v>
      </c>
      <c r="B282" s="10" t="str">
        <f>IFERROR(
    INDEX([1]FSHIP!B:B,MATCH(A282,[1]FSHIP!A:A,0)),
    IFERROR(
        INDEX([1]釣具商品ship!B:B,MATCH(A282,[1]釣具商品ship!A:A,0)),
        IFERROR(
            INDEX([1]玩具商品ship!B:B,MATCH(A282,[1]玩具商品ship!A:A,0)),
            IFERROR(
                INDEX([1]OEMship!B:B,MATCH(A282,[1]OEMship!A:A,0)),
                IFERROR(
                    INDEX([1]NV6ship!B:B,MATCH(A282,[1]NV6ship!A:A,0)),
                    IFERROR(
                        INDEX([1]NVship!B:B,MATCH(A282,[1]NVship!A:A,0)),
                        IFERROR(
                            INDEX([1]海ship!B:B,MATCH(A282,[1]海ship!A:A,0)),
                            IFERROR(
                                INDEX([1]ｾﾚship!B:B,MATCH(A282,[1]ｾﾚship!A:A,0)),
                                IFERROR(
                                    INDEX([1]ｾﾚﾓﾆｰ商品ship!B:B,MATCH(A282,[1]ｾﾚﾓﾆｰ商品ship!A:A,0)),
                                    INDEX([2]NV!D:D,MATCH(A282,[2]NV!C:C,0))
                                )
                            )
                        )
                    )
                )
            )
        )
    )
)</f>
        <v>タコディギ3号　グロー</v>
      </c>
      <c r="C282" s="4" t="s">
        <v>1</v>
      </c>
      <c r="D282" s="10" t="str">
        <f t="shared" si="12"/>
        <v>タコディギ3号　グロー ｜ 1F釣具部屋【04】 ｜ L</v>
      </c>
      <c r="E282" s="11" t="str">
        <f t="shared" si="13"/>
        <v>1F釣具部屋</v>
      </c>
      <c r="F282" s="12" t="s">
        <v>21</v>
      </c>
      <c r="G282" s="11" t="str">
        <f t="shared" si="14"/>
        <v>04・1F釣具部屋L</v>
      </c>
      <c r="H282" s="3"/>
    </row>
    <row r="283" spans="1:8" ht="15" customHeight="1" x14ac:dyDescent="0.2">
      <c r="A283" s="10" t="s">
        <v>295</v>
      </c>
      <c r="B283" s="10" t="str">
        <f>IFERROR(
    INDEX([1]FSHIP!B:B,MATCH(A283,[1]FSHIP!A:A,0)),
    IFERROR(
        INDEX([1]釣具商品ship!B:B,MATCH(A283,[1]釣具商品ship!A:A,0)),
        IFERROR(
            INDEX([1]玩具商品ship!B:B,MATCH(A283,[1]玩具商品ship!A:A,0)),
            IFERROR(
                INDEX([1]OEMship!B:B,MATCH(A283,[1]OEMship!A:A,0)),
                IFERROR(
                    INDEX([1]NV6ship!B:B,MATCH(A283,[1]NV6ship!A:A,0)),
                    IFERROR(
                        INDEX([1]NVship!B:B,MATCH(A283,[1]NVship!A:A,0)),
                        IFERROR(
                            INDEX([1]海ship!B:B,MATCH(A283,[1]海ship!A:A,0)),
                            IFERROR(
                                INDEX([1]ｾﾚship!B:B,MATCH(A283,[1]ｾﾚship!A:A,0)),
                                IFERROR(
                                    INDEX([1]ｾﾚﾓﾆｰ商品ship!B:B,MATCH(A283,[1]ｾﾚﾓﾆｰ商品ship!A:A,0)),
                                    INDEX([2]NV!D:D,MATCH(A283,[2]NV!C:C,0))
                                )
                            )
                        )
                    )
                )
            )
        )
    )
)</f>
        <v>タコディギ3号　さくらもち</v>
      </c>
      <c r="C283" s="4" t="s">
        <v>1</v>
      </c>
      <c r="D283" s="10" t="str">
        <f t="shared" si="12"/>
        <v>タコディギ3号　さくらもち ｜ 1F釣具部屋【04】 ｜ L</v>
      </c>
      <c r="E283" s="11" t="str">
        <f t="shared" si="13"/>
        <v>1F釣具部屋</v>
      </c>
      <c r="F283" s="12" t="s">
        <v>21</v>
      </c>
      <c r="G283" s="11" t="str">
        <f t="shared" si="14"/>
        <v>04・1F釣具部屋L</v>
      </c>
      <c r="H283" s="3"/>
    </row>
    <row r="284" spans="1:8" ht="15" customHeight="1" x14ac:dyDescent="0.2">
      <c r="A284" s="10" t="s">
        <v>294</v>
      </c>
      <c r="B284" s="10" t="str">
        <f>IFERROR(
    INDEX([1]FSHIP!B:B,MATCH(A284,[1]FSHIP!A:A,0)),
    IFERROR(
        INDEX([1]釣具商品ship!B:B,MATCH(A284,[1]釣具商品ship!A:A,0)),
        IFERROR(
            INDEX([1]玩具商品ship!B:B,MATCH(A284,[1]玩具商品ship!A:A,0)),
            IFERROR(
                INDEX([1]OEMship!B:B,MATCH(A284,[1]OEMship!A:A,0)),
                IFERROR(
                    INDEX([1]NV6ship!B:B,MATCH(A284,[1]NV6ship!A:A,0)),
                    IFERROR(
                        INDEX([1]NVship!B:B,MATCH(A284,[1]NVship!A:A,0)),
                        IFERROR(
                            INDEX([1]海ship!B:B,MATCH(A284,[1]海ship!A:A,0)),
                            IFERROR(
                                INDEX([1]ｾﾚship!B:B,MATCH(A284,[1]ｾﾚship!A:A,0)),
                                IFERROR(
                                    INDEX([1]ｾﾚﾓﾆｰ商品ship!B:B,MATCH(A284,[1]ｾﾚﾓﾆｰ商品ship!A:A,0)),
                                    INDEX([2]NV!D:D,MATCH(A284,[2]NV!C:C,0))
                                )
                            )
                        )
                    )
                )
            )
        )
    )
)</f>
        <v>タコディギ3号　チャートイエロー</v>
      </c>
      <c r="C284" s="4" t="s">
        <v>1</v>
      </c>
      <c r="D284" s="10" t="str">
        <f t="shared" si="12"/>
        <v>タコディギ3号　チャートイエロー ｜ 1F釣具部屋【04】 ｜ L</v>
      </c>
      <c r="E284" s="11" t="str">
        <f t="shared" si="13"/>
        <v>1F釣具部屋</v>
      </c>
      <c r="F284" s="12" t="s">
        <v>21</v>
      </c>
      <c r="G284" s="11" t="str">
        <f t="shared" si="14"/>
        <v>04・1F釣具部屋L</v>
      </c>
      <c r="H284" s="3"/>
    </row>
    <row r="285" spans="1:8" ht="15" customHeight="1" x14ac:dyDescent="0.2">
      <c r="A285" s="10" t="s">
        <v>293</v>
      </c>
      <c r="B285" s="10" t="str">
        <f>IFERROR(
    INDEX([1]FSHIP!B:B,MATCH(A285,[1]FSHIP!A:A,0)),
    IFERROR(
        INDEX([1]釣具商品ship!B:B,MATCH(A285,[1]釣具商品ship!A:A,0)),
        IFERROR(
            INDEX([1]玩具商品ship!B:B,MATCH(A285,[1]玩具商品ship!A:A,0)),
            IFERROR(
                INDEX([1]OEMship!B:B,MATCH(A285,[1]OEMship!A:A,0)),
                IFERROR(
                    INDEX([1]NV6ship!B:B,MATCH(A285,[1]NV6ship!A:A,0)),
                    IFERROR(
                        INDEX([1]NVship!B:B,MATCH(A285,[1]NVship!A:A,0)),
                        IFERROR(
                            INDEX([1]海ship!B:B,MATCH(A285,[1]海ship!A:A,0)),
                            IFERROR(
                                INDEX([1]ｾﾚship!B:B,MATCH(A285,[1]ｾﾚship!A:A,0)),
                                IFERROR(
                                    INDEX([1]ｾﾚﾓﾆｰ商品ship!B:B,MATCH(A285,[1]ｾﾚﾓﾆｰ商品ship!A:A,0)),
                                    INDEX([2]NV!D:D,MATCH(A285,[2]NV!C:C,0))
                                )
                            )
                        )
                    )
                )
            )
        )
    )
)</f>
        <v>タコディギ3号　スイカ</v>
      </c>
      <c r="C285" s="4" t="s">
        <v>1</v>
      </c>
      <c r="D285" s="10" t="str">
        <f t="shared" si="12"/>
        <v>タコディギ3号　スイカ ｜ 1F釣具部屋【04】 ｜ L</v>
      </c>
      <c r="E285" s="11" t="str">
        <f t="shared" si="13"/>
        <v>1F釣具部屋</v>
      </c>
      <c r="F285" s="12" t="s">
        <v>21</v>
      </c>
      <c r="G285" s="11" t="str">
        <f t="shared" si="14"/>
        <v>04・1F釣具部屋L</v>
      </c>
      <c r="H285" s="3"/>
    </row>
    <row r="286" spans="1:8" ht="15" customHeight="1" x14ac:dyDescent="0.2">
      <c r="A286" s="10" t="s">
        <v>171</v>
      </c>
      <c r="B286" s="10" t="str">
        <f>IFERROR(
    INDEX([1]FSHIP!B:B,MATCH(A286,[1]FSHIP!A:A,0)),
    IFERROR(
        INDEX([1]釣具商品ship!B:B,MATCH(A286,[1]釣具商品ship!A:A,0)),
        IFERROR(
            INDEX([1]玩具商品ship!B:B,MATCH(A286,[1]玩具商品ship!A:A,0)),
            IFERROR(
                INDEX([1]OEMship!B:B,MATCH(A286,[1]OEMship!A:A,0)),
                IFERROR(
                    INDEX([1]NV6ship!B:B,MATCH(A286,[1]NV6ship!A:A,0)),
                    IFERROR(
                        INDEX([1]NVship!B:B,MATCH(A286,[1]NVship!A:A,0)),
                        IFERROR(
                            INDEX([1]海ship!B:B,MATCH(A286,[1]海ship!A:A,0)),
                            IFERROR(
                                INDEX([1]ｾﾚship!B:B,MATCH(A286,[1]ｾﾚship!A:A,0)),
                                IFERROR(
                                    INDEX([1]ｾﾚﾓﾆｰ商品ship!B:B,MATCH(A286,[1]ｾﾚﾓﾆｰ商品ship!A:A,0)),
                                    INDEX([2]NV!D:D,MATCH(A286,[2]NV!C:C,0))
                                )
                            )
                        )
                    )
                )
            )
        )
    )
)</f>
        <v>ｅ-エギ3.5号ケイムラローズ</v>
      </c>
      <c r="C286" s="4" t="s">
        <v>0</v>
      </c>
      <c r="D286" s="10" t="str">
        <f t="shared" si="12"/>
        <v>ｅ-エギ3.5号ケイムラローズ ｜ 1F釣具部屋【04】 ｜ F</v>
      </c>
      <c r="E286" s="11" t="str">
        <f t="shared" si="13"/>
        <v>1F釣具部屋</v>
      </c>
      <c r="F286" s="12" t="s">
        <v>21</v>
      </c>
      <c r="G286" s="11" t="str">
        <f t="shared" si="14"/>
        <v>04・1F釣具部屋F</v>
      </c>
      <c r="H286" s="3"/>
    </row>
    <row r="287" spans="1:8" ht="15" customHeight="1" x14ac:dyDescent="0.2">
      <c r="A287" s="10" t="s">
        <v>172</v>
      </c>
      <c r="B287" s="10" t="str">
        <f>IFERROR(
    INDEX([1]FSHIP!B:B,MATCH(A287,[1]FSHIP!A:A,0)),
    IFERROR(
        INDEX([1]釣具商品ship!B:B,MATCH(A287,[1]釣具商品ship!A:A,0)),
        IFERROR(
            INDEX([1]玩具商品ship!B:B,MATCH(A287,[1]玩具商品ship!A:A,0)),
            IFERROR(
                INDEX([1]OEMship!B:B,MATCH(A287,[1]OEMship!A:A,0)),
                IFERROR(
                    INDEX([1]NV6ship!B:B,MATCH(A287,[1]NV6ship!A:A,0)),
                    IFERROR(
                        INDEX([1]NVship!B:B,MATCH(A287,[1]NVship!A:A,0)),
                        IFERROR(
                            INDEX([1]海ship!B:B,MATCH(A287,[1]海ship!A:A,0)),
                            IFERROR(
                                INDEX([1]ｾﾚship!B:B,MATCH(A287,[1]ｾﾚship!A:A,0)),
                                IFERROR(
                                    INDEX([1]ｾﾚﾓﾆｰ商品ship!B:B,MATCH(A287,[1]ｾﾚﾓﾆｰ商品ship!A:A,0)),
                                    INDEX([2]NV!D:D,MATCH(A287,[2]NV!C:C,0))
                                )
                            )
                        )
                    )
                )
            )
        )
    )
)</f>
        <v>ｅ-エギ3.5号赤/ガーベラ</v>
      </c>
      <c r="C287" s="4" t="s">
        <v>0</v>
      </c>
      <c r="D287" s="10" t="str">
        <f t="shared" si="12"/>
        <v>ｅ-エギ3.5号赤/ガーベラ ｜ 1F釣具部屋【04】 ｜ F</v>
      </c>
      <c r="E287" s="11" t="str">
        <f t="shared" si="13"/>
        <v>1F釣具部屋</v>
      </c>
      <c r="F287" s="12" t="s">
        <v>21</v>
      </c>
      <c r="G287" s="11" t="str">
        <f t="shared" si="14"/>
        <v>04・1F釣具部屋F</v>
      </c>
      <c r="H287" s="3"/>
    </row>
    <row r="288" spans="1:8" ht="15" customHeight="1" x14ac:dyDescent="0.2">
      <c r="A288" s="10" t="s">
        <v>173</v>
      </c>
      <c r="B288" s="10" t="str">
        <f>IFERROR(
    INDEX([1]FSHIP!B:B,MATCH(A288,[1]FSHIP!A:A,0)),
    IFERROR(
        INDEX([1]釣具商品ship!B:B,MATCH(A288,[1]釣具商品ship!A:A,0)),
        IFERROR(
            INDEX([1]玩具商品ship!B:B,MATCH(A288,[1]玩具商品ship!A:A,0)),
            IFERROR(
                INDEX([1]OEMship!B:B,MATCH(A288,[1]OEMship!A:A,0)),
                IFERROR(
                    INDEX([1]NV6ship!B:B,MATCH(A288,[1]NV6ship!A:A,0)),
                    IFERROR(
                        INDEX([1]NVship!B:B,MATCH(A288,[1]NVship!A:A,0)),
                        IFERROR(
                            INDEX([1]海ship!B:B,MATCH(A288,[1]海ship!A:A,0)),
                            IFERROR(
                                INDEX([1]ｾﾚship!B:B,MATCH(A288,[1]ｾﾚship!A:A,0)),
                                IFERROR(
                                    INDEX([1]ｾﾚﾓﾆｰ商品ship!B:B,MATCH(A288,[1]ｾﾚﾓﾆｰ商品ship!A:A,0)),
                                    INDEX([2]NV!D:D,MATCH(A288,[2]NV!C:C,0))
                                )
                            )
                        )
                    )
                )
            )
        )
    )
)</f>
        <v>ｅ-エギ3.5号金ザサ</v>
      </c>
      <c r="C288" s="4" t="s">
        <v>0</v>
      </c>
      <c r="D288" s="10" t="str">
        <f t="shared" si="12"/>
        <v>ｅ-エギ3.5号金ザサ ｜ 1F釣具部屋【04】 ｜ F</v>
      </c>
      <c r="E288" s="11" t="str">
        <f t="shared" si="13"/>
        <v>1F釣具部屋</v>
      </c>
      <c r="F288" s="12" t="s">
        <v>21</v>
      </c>
      <c r="G288" s="11" t="str">
        <f t="shared" si="14"/>
        <v>04・1F釣具部屋F</v>
      </c>
      <c r="H288" s="3"/>
    </row>
    <row r="289" spans="1:8" ht="15" customHeight="1" x14ac:dyDescent="0.2">
      <c r="A289" s="10" t="s">
        <v>174</v>
      </c>
      <c r="B289" s="10" t="str">
        <f>IFERROR(
    INDEX([1]FSHIP!B:B,MATCH(A289,[1]FSHIP!A:A,0)),
    IFERROR(
        INDEX([1]釣具商品ship!B:B,MATCH(A289,[1]釣具商品ship!A:A,0)),
        IFERROR(
            INDEX([1]玩具商品ship!B:B,MATCH(A289,[1]玩具商品ship!A:A,0)),
            IFERROR(
                INDEX([1]OEMship!B:B,MATCH(A289,[1]OEMship!A:A,0)),
                IFERROR(
                    INDEX([1]NV6ship!B:B,MATCH(A289,[1]NV6ship!A:A,0)),
                    IFERROR(
                        INDEX([1]NVship!B:B,MATCH(A289,[1]NVship!A:A,0)),
                        IFERROR(
                            INDEX([1]海ship!B:B,MATCH(A289,[1]海ship!A:A,0)),
                            IFERROR(
                                INDEX([1]ｾﾚship!B:B,MATCH(A289,[1]ｾﾚship!A:A,0)),
                                IFERROR(
                                    INDEX([1]ｾﾚﾓﾆｰ商品ship!B:B,MATCH(A289,[1]ｾﾚﾓﾆｰ商品ship!A:A,0)),
                                    INDEX([2]NV!D:D,MATCH(A289,[2]NV!C:C,0))
                                )
                            )
                        )
                    )
                )
            )
        )
    )
)</f>
        <v>ｅ-エギ3.5号金ツバキ</v>
      </c>
      <c r="C289" s="4" t="s">
        <v>0</v>
      </c>
      <c r="D289" s="10" t="str">
        <f t="shared" si="12"/>
        <v>ｅ-エギ3.5号金ツバキ ｜ 1F釣具部屋【04】 ｜ F</v>
      </c>
      <c r="E289" s="11" t="str">
        <f t="shared" si="13"/>
        <v>1F釣具部屋</v>
      </c>
      <c r="F289" s="12" t="s">
        <v>21</v>
      </c>
      <c r="G289" s="11" t="str">
        <f t="shared" si="14"/>
        <v>04・1F釣具部屋F</v>
      </c>
      <c r="H289" s="3"/>
    </row>
    <row r="290" spans="1:8" ht="15" customHeight="1" x14ac:dyDescent="0.2">
      <c r="A290" s="10" t="s">
        <v>175</v>
      </c>
      <c r="B290" s="10" t="str">
        <f>IFERROR(
    INDEX([1]FSHIP!B:B,MATCH(A290,[1]FSHIP!A:A,0)),
    IFERROR(
        INDEX([1]釣具商品ship!B:B,MATCH(A290,[1]釣具商品ship!A:A,0)),
        IFERROR(
            INDEX([1]玩具商品ship!B:B,MATCH(A290,[1]玩具商品ship!A:A,0)),
            IFERROR(
                INDEX([1]OEMship!B:B,MATCH(A290,[1]OEMship!A:A,0)),
                IFERROR(
                    INDEX([1]NV6ship!B:B,MATCH(A290,[1]NV6ship!A:A,0)),
                    IFERROR(
                        INDEX([1]NVship!B:B,MATCH(A290,[1]NVship!A:A,0)),
                        IFERROR(
                            INDEX([1]海ship!B:B,MATCH(A290,[1]海ship!A:A,0)),
                            IFERROR(
                                INDEX([1]ｾﾚship!B:B,MATCH(A290,[1]ｾﾚship!A:A,0)),
                                IFERROR(
                                    INDEX([1]ｾﾚﾓﾆｰ商品ship!B:B,MATCH(A290,[1]ｾﾚﾓﾆｰ商品ship!A:A,0)),
                                    INDEX([2]NV!D:D,MATCH(A290,[2]NV!C:C,0))
                                )
                            )
                        )
                    )
                )
            )
        )
    )
)</f>
        <v>ｅ-エギ3.5号ケイムラブーケ</v>
      </c>
      <c r="C290" s="4" t="s">
        <v>0</v>
      </c>
      <c r="D290" s="10" t="str">
        <f t="shared" si="12"/>
        <v>ｅ-エギ3.5号ケイムラブーケ ｜ 1F釣具部屋【04】 ｜ F</v>
      </c>
      <c r="E290" s="11" t="str">
        <f t="shared" si="13"/>
        <v>1F釣具部屋</v>
      </c>
      <c r="F290" s="12" t="s">
        <v>21</v>
      </c>
      <c r="G290" s="11" t="str">
        <f t="shared" si="14"/>
        <v>04・1F釣具部屋F</v>
      </c>
      <c r="H290" s="3"/>
    </row>
    <row r="291" spans="1:8" ht="15" customHeight="1" x14ac:dyDescent="0.2">
      <c r="A291" s="10" t="s">
        <v>176</v>
      </c>
      <c r="B291" s="10" t="str">
        <f>IFERROR(
    INDEX([1]FSHIP!B:B,MATCH(A291,[1]FSHIP!A:A,0)),
    IFERROR(
        INDEX([1]釣具商品ship!B:B,MATCH(A291,[1]釣具商品ship!A:A,0)),
        IFERROR(
            INDEX([1]玩具商品ship!B:B,MATCH(A291,[1]玩具商品ship!A:A,0)),
            IFERROR(
                INDEX([1]OEMship!B:B,MATCH(A291,[1]OEMship!A:A,0)),
                IFERROR(
                    INDEX([1]NV6ship!B:B,MATCH(A291,[1]NV6ship!A:A,0)),
                    IFERROR(
                        INDEX([1]NVship!B:B,MATCH(A291,[1]NVship!A:A,0)),
                        IFERROR(
                            INDEX([1]海ship!B:B,MATCH(A291,[1]海ship!A:A,0)),
                            IFERROR(
                                INDEX([1]ｾﾚship!B:B,MATCH(A291,[1]ｾﾚship!A:A,0)),
                                IFERROR(
                                    INDEX([1]ｾﾚﾓﾆｰ商品ship!B:B,MATCH(A291,[1]ｾﾚﾓﾆｰ商品ship!A:A,0)),
                                    INDEX([2]NV!D:D,MATCH(A291,[2]NV!C:C,0))
                                )
                            )
                        )
                    )
                )
            )
        )
    )
)</f>
        <v>ｅ-エギ3.5号赤/カーネーション</v>
      </c>
      <c r="C291" s="4" t="s">
        <v>0</v>
      </c>
      <c r="D291" s="10" t="str">
        <f t="shared" si="12"/>
        <v>ｅ-エギ3.5号赤/カーネーション ｜ 1F釣具部屋【04】 ｜ F</v>
      </c>
      <c r="E291" s="11" t="str">
        <f t="shared" si="13"/>
        <v>1F釣具部屋</v>
      </c>
      <c r="F291" s="12" t="s">
        <v>21</v>
      </c>
      <c r="G291" s="11" t="str">
        <f t="shared" si="14"/>
        <v>04・1F釣具部屋F</v>
      </c>
      <c r="H291" s="3"/>
    </row>
    <row r="292" spans="1:8" ht="15" customHeight="1" x14ac:dyDescent="0.2">
      <c r="A292" s="10" t="s">
        <v>352</v>
      </c>
      <c r="B292" s="10" t="str">
        <f>IFERROR(
    INDEX([1]FSHIP!B:B,MATCH(A292,[1]FSHIP!A:A,0)),
    IFERROR(
        INDEX([1]釣具商品ship!B:B,MATCH(A292,[1]釣具商品ship!A:A,0)),
        IFERROR(
            INDEX([1]玩具商品ship!B:B,MATCH(A292,[1]玩具商品ship!A:A,0)),
            IFERROR(
                INDEX([1]OEMship!B:B,MATCH(A292,[1]OEMship!A:A,0)),
                IFERROR(
                    INDEX([1]NV6ship!B:B,MATCH(A292,[1]NV6ship!A:A,0)),
                    IFERROR(
                        INDEX([1]NVship!B:B,MATCH(A292,[1]NVship!A:A,0)),
                        IFERROR(
                            INDEX([1]海ship!B:B,MATCH(A292,[1]海ship!A:A,0)),
                            IFERROR(
                                INDEX([1]ｾﾚship!B:B,MATCH(A292,[1]ｾﾚship!A:A,0)),
                                IFERROR(
                                    INDEX([1]ｾﾚﾓﾆｰ商品ship!B:B,MATCH(A292,[1]ｾﾚﾓﾆｰ商品ship!A:A,0)),
                                    INDEX([2]NV!D:D,MATCH(A292,[2]NV!C:C,0))
                                )
                            )
                        )
                    )
                )
            )
        )
    )
)</f>
        <v>ﾌﾟﾆｲｶ 3inch 血管</v>
      </c>
      <c r="C292" s="4" t="s">
        <v>6</v>
      </c>
      <c r="D292" s="10" t="str">
        <f t="shared" si="12"/>
        <v>ﾌﾟﾆｲｶ 3inch 血管 ｜ 1F釣具部屋【04】 ｜ J</v>
      </c>
      <c r="E292" s="11" t="str">
        <f t="shared" si="13"/>
        <v>1F釣具部屋</v>
      </c>
      <c r="F292" s="12" t="s">
        <v>21</v>
      </c>
      <c r="G292" s="11" t="str">
        <f t="shared" si="14"/>
        <v>04・1F釣具部屋J</v>
      </c>
      <c r="H292" s="3"/>
    </row>
    <row r="293" spans="1:8" ht="15" customHeight="1" x14ac:dyDescent="0.2">
      <c r="A293" s="10" t="s">
        <v>353</v>
      </c>
      <c r="B293" s="10" t="str">
        <f>IFERROR(
    INDEX([1]FSHIP!B:B,MATCH(A293,[1]FSHIP!A:A,0)),
    IFERROR(
        INDEX([1]釣具商品ship!B:B,MATCH(A293,[1]釣具商品ship!A:A,0)),
        IFERROR(
            INDEX([1]玩具商品ship!B:B,MATCH(A293,[1]玩具商品ship!A:A,0)),
            IFERROR(
                INDEX([1]OEMship!B:B,MATCH(A293,[1]OEMship!A:A,0)),
                IFERROR(
                    INDEX([1]NV6ship!B:B,MATCH(A293,[1]NV6ship!A:A,0)),
                    IFERROR(
                        INDEX([1]NVship!B:B,MATCH(A293,[1]NVship!A:A,0)),
                        IFERROR(
                            INDEX([1]海ship!B:B,MATCH(A293,[1]海ship!A:A,0)),
                            IFERROR(
                                INDEX([1]ｾﾚship!B:B,MATCH(A293,[1]ｾﾚship!A:A,0)),
                                IFERROR(
                                    INDEX([1]ｾﾚﾓﾆｰ商品ship!B:B,MATCH(A293,[1]ｾﾚﾓﾆｰ商品ship!A:A,0)),
                                    INDEX([2]NV!D:D,MATCH(A293,[2]NV!C:C,0))
                                )
                            )
                        )
                    )
                )
            )
        )
    )
)</f>
        <v>ﾌﾟﾆｲｶ 3inch ﾄﾞｯﾄｸﾞﾛｰ</v>
      </c>
      <c r="C293" s="4" t="s">
        <v>6</v>
      </c>
      <c r="D293" s="10" t="str">
        <f t="shared" si="12"/>
        <v>ﾌﾟﾆｲｶ 3inch ﾄﾞｯﾄｸﾞﾛｰ ｜ 1F釣具部屋【04】 ｜ J</v>
      </c>
      <c r="E293" s="11" t="str">
        <f t="shared" si="13"/>
        <v>1F釣具部屋</v>
      </c>
      <c r="F293" s="12" t="s">
        <v>21</v>
      </c>
      <c r="G293" s="11" t="str">
        <f t="shared" si="14"/>
        <v>04・1F釣具部屋J</v>
      </c>
      <c r="H293" s="3"/>
    </row>
    <row r="294" spans="1:8" ht="15" customHeight="1" x14ac:dyDescent="0.2">
      <c r="A294" s="10" t="s">
        <v>354</v>
      </c>
      <c r="B294" s="10" t="str">
        <f>IFERROR(
    INDEX([1]FSHIP!B:B,MATCH(A294,[1]FSHIP!A:A,0)),
    IFERROR(
        INDEX([1]釣具商品ship!B:B,MATCH(A294,[1]釣具商品ship!A:A,0)),
        IFERROR(
            INDEX([1]玩具商品ship!B:B,MATCH(A294,[1]玩具商品ship!A:A,0)),
            IFERROR(
                INDEX([1]OEMship!B:B,MATCH(A294,[1]OEMship!A:A,0)),
                IFERROR(
                    INDEX([1]NV6ship!B:B,MATCH(A294,[1]NV6ship!A:A,0)),
                    IFERROR(
                        INDEX([1]NVship!B:B,MATCH(A294,[1]NVship!A:A,0)),
                        IFERROR(
                            INDEX([1]海ship!B:B,MATCH(A294,[1]海ship!A:A,0)),
                            IFERROR(
                                INDEX([1]ｾﾚship!B:B,MATCH(A294,[1]ｾﾚship!A:A,0)),
                                IFERROR(
                                    INDEX([1]ｾﾚﾓﾆｰ商品ship!B:B,MATCH(A294,[1]ｾﾚﾓﾆｰ商品ship!A:A,0)),
                                    INDEX([2]NV!D:D,MATCH(A294,[2]NV!C:C,0))
                                )
                            )
                        )
                    )
                )
            )
        )
    )
)</f>
        <v>ﾌﾟﾆｲｶ 3inch ﾄﾞｯﾄｹｲﾑﾗ</v>
      </c>
      <c r="C294" s="4" t="s">
        <v>6</v>
      </c>
      <c r="D294" s="10" t="str">
        <f t="shared" si="12"/>
        <v>ﾌﾟﾆｲｶ 3inch ﾄﾞｯﾄｹｲﾑﾗ ｜ 1F釣具部屋【04】 ｜ J</v>
      </c>
      <c r="E294" s="11" t="str">
        <f t="shared" si="13"/>
        <v>1F釣具部屋</v>
      </c>
      <c r="F294" s="12" t="s">
        <v>21</v>
      </c>
      <c r="G294" s="11" t="str">
        <f t="shared" si="14"/>
        <v>04・1F釣具部屋J</v>
      </c>
      <c r="H294" s="3"/>
    </row>
    <row r="295" spans="1:8" ht="15" customHeight="1" x14ac:dyDescent="0.2">
      <c r="A295" s="10" t="s">
        <v>355</v>
      </c>
      <c r="B295" s="10" t="str">
        <f>IFERROR(
    INDEX([1]FSHIP!B:B,MATCH(A295,[1]FSHIP!A:A,0)),
    IFERROR(
        INDEX([1]釣具商品ship!B:B,MATCH(A295,[1]釣具商品ship!A:A,0)),
        IFERROR(
            INDEX([1]玩具商品ship!B:B,MATCH(A295,[1]玩具商品ship!A:A,0)),
            IFERROR(
                INDEX([1]OEMship!B:B,MATCH(A295,[1]OEMship!A:A,0)),
                IFERROR(
                    INDEX([1]NV6ship!B:B,MATCH(A295,[1]NV6ship!A:A,0)),
                    IFERROR(
                        INDEX([1]NVship!B:B,MATCH(A295,[1]NVship!A:A,0)),
                        IFERROR(
                            INDEX([1]海ship!B:B,MATCH(A295,[1]海ship!A:A,0)),
                            IFERROR(
                                INDEX([1]ｾﾚship!B:B,MATCH(A295,[1]ｾﾚship!A:A,0)),
                                IFERROR(
                                    INDEX([1]ｾﾚﾓﾆｰ商品ship!B:B,MATCH(A295,[1]ｾﾚﾓﾆｰ商品ship!A:A,0)),
                                    INDEX([2]NV!D:D,MATCH(A295,[2]NV!C:C,0))
                                )
                            )
                        )
                    )
                )
            )
        )
    )
)</f>
        <v>ﾌﾟﾆｲｶ 3inch 素干し</v>
      </c>
      <c r="C295" s="4" t="s">
        <v>6</v>
      </c>
      <c r="D295" s="10" t="str">
        <f t="shared" si="12"/>
        <v>ﾌﾟﾆｲｶ 3inch 素干し ｜ 1F釣具部屋【04】 ｜ J</v>
      </c>
      <c r="E295" s="11" t="str">
        <f t="shared" si="13"/>
        <v>1F釣具部屋</v>
      </c>
      <c r="F295" s="12" t="s">
        <v>21</v>
      </c>
      <c r="G295" s="11" t="str">
        <f t="shared" si="14"/>
        <v>04・1F釣具部屋J</v>
      </c>
      <c r="H295" s="3"/>
    </row>
    <row r="296" spans="1:8" ht="15" customHeight="1" x14ac:dyDescent="0.2">
      <c r="A296" s="10" t="s">
        <v>356</v>
      </c>
      <c r="B296" s="10" t="str">
        <f>IFERROR(
    INDEX([1]FSHIP!B:B,MATCH(A296,[1]FSHIP!A:A,0)),
    IFERROR(
        INDEX([1]釣具商品ship!B:B,MATCH(A296,[1]釣具商品ship!A:A,0)),
        IFERROR(
            INDEX([1]玩具商品ship!B:B,MATCH(A296,[1]玩具商品ship!A:A,0)),
            IFERROR(
                INDEX([1]OEMship!B:B,MATCH(A296,[1]OEMship!A:A,0)),
                IFERROR(
                    INDEX([1]NV6ship!B:B,MATCH(A296,[1]NV6ship!A:A,0)),
                    IFERROR(
                        INDEX([1]NVship!B:B,MATCH(A296,[1]NVship!A:A,0)),
                        IFERROR(
                            INDEX([1]海ship!B:B,MATCH(A296,[1]海ship!A:A,0)),
                            IFERROR(
                                INDEX([1]ｾﾚship!B:B,MATCH(A296,[1]ｾﾚship!A:A,0)),
                                IFERROR(
                                    INDEX([1]ｾﾚﾓﾆｰ商品ship!B:B,MATCH(A296,[1]ｾﾚﾓﾆｰ商品ship!A:A,0)),
                                    INDEX([2]NV!D:D,MATCH(A296,[2]NV!C:C,0))
                                )
                            )
                        )
                    )
                )
            )
        )
    )
)</f>
        <v>ﾌﾟﾆｲｶ 3inch 生</v>
      </c>
      <c r="C296" s="4" t="s">
        <v>6</v>
      </c>
      <c r="D296" s="10" t="str">
        <f t="shared" si="12"/>
        <v>ﾌﾟﾆｲｶ 3inch 生 ｜ 1F釣具部屋【04】 ｜ J</v>
      </c>
      <c r="E296" s="11" t="str">
        <f t="shared" si="13"/>
        <v>1F釣具部屋</v>
      </c>
      <c r="F296" s="12" t="s">
        <v>21</v>
      </c>
      <c r="G296" s="11" t="str">
        <f t="shared" si="14"/>
        <v>04・1F釣具部屋J</v>
      </c>
      <c r="H296" s="3"/>
    </row>
    <row r="297" spans="1:8" ht="15" customHeight="1" x14ac:dyDescent="0.2">
      <c r="A297" s="10" t="s">
        <v>357</v>
      </c>
      <c r="B297" s="10" t="str">
        <f>IFERROR(
    INDEX([1]FSHIP!B:B,MATCH(A297,[1]FSHIP!A:A,0)),
    IFERROR(
        INDEX([1]釣具商品ship!B:B,MATCH(A297,[1]釣具商品ship!A:A,0)),
        IFERROR(
            INDEX([1]玩具商品ship!B:B,MATCH(A297,[1]玩具商品ship!A:A,0)),
            IFERROR(
                INDEX([1]OEMship!B:B,MATCH(A297,[1]OEMship!A:A,0)),
                IFERROR(
                    INDEX([1]NV6ship!B:B,MATCH(A297,[1]NV6ship!A:A,0)),
                    IFERROR(
                        INDEX([1]NVship!B:B,MATCH(A297,[1]NVship!A:A,0)),
                        IFERROR(
                            INDEX([1]海ship!B:B,MATCH(A297,[1]海ship!A:A,0)),
                            IFERROR(
                                INDEX([1]ｾﾚship!B:B,MATCH(A297,[1]ｾﾚship!A:A,0)),
                                IFERROR(
                                    INDEX([1]ｾﾚﾓﾆｰ商品ship!B:B,MATCH(A297,[1]ｾﾚﾓﾆｰ商品ship!A:A,0)),
                                    INDEX([2]NV!D:D,MATCH(A297,[2]NV!C:C,0))
                                )
                            )
                        )
                    )
                )
            )
        )
    )
)</f>
        <v>ﾌﾟﾆｲｶｼｮｯｸﾜﾝ 血管</v>
      </c>
      <c r="C297" s="4" t="s">
        <v>6</v>
      </c>
      <c r="D297" s="10" t="str">
        <f t="shared" si="12"/>
        <v>ﾌﾟﾆｲｶｼｮｯｸﾜﾝ 血管 ｜ 1F釣具部屋【04】 ｜ J</v>
      </c>
      <c r="E297" s="11" t="str">
        <f t="shared" si="13"/>
        <v>1F釣具部屋</v>
      </c>
      <c r="F297" s="12" t="s">
        <v>21</v>
      </c>
      <c r="G297" s="11" t="str">
        <f t="shared" si="14"/>
        <v>04・1F釣具部屋J</v>
      </c>
      <c r="H297" s="3"/>
    </row>
    <row r="298" spans="1:8" ht="15" customHeight="1" x14ac:dyDescent="0.2">
      <c r="A298" s="10" t="s">
        <v>358</v>
      </c>
      <c r="B298" s="10" t="str">
        <f>IFERROR(
    INDEX([1]FSHIP!B:B,MATCH(A298,[1]FSHIP!A:A,0)),
    IFERROR(
        INDEX([1]釣具商品ship!B:B,MATCH(A298,[1]釣具商品ship!A:A,0)),
        IFERROR(
            INDEX([1]玩具商品ship!B:B,MATCH(A298,[1]玩具商品ship!A:A,0)),
            IFERROR(
                INDEX([1]OEMship!B:B,MATCH(A298,[1]OEMship!A:A,0)),
                IFERROR(
                    INDEX([1]NV6ship!B:B,MATCH(A298,[1]NV6ship!A:A,0)),
                    IFERROR(
                        INDEX([1]NVship!B:B,MATCH(A298,[1]NVship!A:A,0)),
                        IFERROR(
                            INDEX([1]海ship!B:B,MATCH(A298,[1]海ship!A:A,0)),
                            IFERROR(
                                INDEX([1]ｾﾚship!B:B,MATCH(A298,[1]ｾﾚship!A:A,0)),
                                IFERROR(
                                    INDEX([1]ｾﾚﾓﾆｰ商品ship!B:B,MATCH(A298,[1]ｾﾚﾓﾆｰ商品ship!A:A,0)),
                                    INDEX([2]NV!D:D,MATCH(A298,[2]NV!C:C,0))
                                )
                            )
                        )
                    )
                )
            )
        )
    )
)</f>
        <v>ﾌﾟﾆｲｶｼｮｯｸﾜﾝ ﾄﾞｯﾄｸﾞﾛｰ</v>
      </c>
      <c r="C298" s="4" t="s">
        <v>6</v>
      </c>
      <c r="D298" s="10" t="str">
        <f t="shared" si="12"/>
        <v>ﾌﾟﾆｲｶｼｮｯｸﾜﾝ ﾄﾞｯﾄｸﾞﾛｰ ｜ 1F釣具部屋【04】 ｜ J</v>
      </c>
      <c r="E298" s="11" t="str">
        <f t="shared" si="13"/>
        <v>1F釣具部屋</v>
      </c>
      <c r="F298" s="12" t="s">
        <v>21</v>
      </c>
      <c r="G298" s="11" t="str">
        <f t="shared" si="14"/>
        <v>04・1F釣具部屋J</v>
      </c>
      <c r="H298" s="3"/>
    </row>
    <row r="299" spans="1:8" ht="15" customHeight="1" x14ac:dyDescent="0.2">
      <c r="A299" s="10" t="s">
        <v>359</v>
      </c>
      <c r="B299" s="10" t="str">
        <f>IFERROR(
    INDEX([1]FSHIP!B:B,MATCH(A299,[1]FSHIP!A:A,0)),
    IFERROR(
        INDEX([1]釣具商品ship!B:B,MATCH(A299,[1]釣具商品ship!A:A,0)),
        IFERROR(
            INDEX([1]玩具商品ship!B:B,MATCH(A299,[1]玩具商品ship!A:A,0)),
            IFERROR(
                INDEX([1]OEMship!B:B,MATCH(A299,[1]OEMship!A:A,0)),
                IFERROR(
                    INDEX([1]NV6ship!B:B,MATCH(A299,[1]NV6ship!A:A,0)),
                    IFERROR(
                        INDEX([1]NVship!B:B,MATCH(A299,[1]NVship!A:A,0)),
                        IFERROR(
                            INDEX([1]海ship!B:B,MATCH(A299,[1]海ship!A:A,0)),
                            IFERROR(
                                INDEX([1]ｾﾚship!B:B,MATCH(A299,[1]ｾﾚship!A:A,0)),
                                IFERROR(
                                    INDEX([1]ｾﾚﾓﾆｰ商品ship!B:B,MATCH(A299,[1]ｾﾚﾓﾆｰ商品ship!A:A,0)),
                                    INDEX([2]NV!D:D,MATCH(A299,[2]NV!C:C,0))
                                )
                            )
                        )
                    )
                )
            )
        )
    )
)</f>
        <v>ﾌﾟﾆｲｶｼｮｯｸﾜﾝ ﾄﾞｯﾄｹｲﾑﾗ</v>
      </c>
      <c r="C299" s="4" t="s">
        <v>6</v>
      </c>
      <c r="D299" s="10" t="str">
        <f t="shared" si="12"/>
        <v>ﾌﾟﾆｲｶｼｮｯｸﾜﾝ ﾄﾞｯﾄｹｲﾑﾗ ｜ 1F釣具部屋【04】 ｜ J</v>
      </c>
      <c r="E299" s="11" t="str">
        <f t="shared" si="13"/>
        <v>1F釣具部屋</v>
      </c>
      <c r="F299" s="12" t="s">
        <v>21</v>
      </c>
      <c r="G299" s="11" t="str">
        <f t="shared" si="14"/>
        <v>04・1F釣具部屋J</v>
      </c>
      <c r="H299" s="3"/>
    </row>
    <row r="300" spans="1:8" ht="15" customHeight="1" x14ac:dyDescent="0.2">
      <c r="A300" s="10" t="s">
        <v>360</v>
      </c>
      <c r="B300" s="10" t="str">
        <f>IFERROR(
    INDEX([1]FSHIP!B:B,MATCH(A300,[1]FSHIP!A:A,0)),
    IFERROR(
        INDEX([1]釣具商品ship!B:B,MATCH(A300,[1]釣具商品ship!A:A,0)),
        IFERROR(
            INDEX([1]玩具商品ship!B:B,MATCH(A300,[1]玩具商品ship!A:A,0)),
            IFERROR(
                INDEX([1]OEMship!B:B,MATCH(A300,[1]OEMship!A:A,0)),
                IFERROR(
                    INDEX([1]NV6ship!B:B,MATCH(A300,[1]NV6ship!A:A,0)),
                    IFERROR(
                        INDEX([1]NVship!B:B,MATCH(A300,[1]NVship!A:A,0)),
                        IFERROR(
                            INDEX([1]海ship!B:B,MATCH(A300,[1]海ship!A:A,0)),
                            IFERROR(
                                INDEX([1]ｾﾚship!B:B,MATCH(A300,[1]ｾﾚship!A:A,0)),
                                IFERROR(
                                    INDEX([1]ｾﾚﾓﾆｰ商品ship!B:B,MATCH(A300,[1]ｾﾚﾓﾆｰ商品ship!A:A,0)),
                                    INDEX([2]NV!D:D,MATCH(A300,[2]NV!C:C,0))
                                )
                            )
                        )
                    )
                )
            )
        )
    )
)</f>
        <v>ﾌﾟﾆｲｶｼｮｯｸﾜﾝ 素干し</v>
      </c>
      <c r="C300" s="4" t="s">
        <v>6</v>
      </c>
      <c r="D300" s="10" t="str">
        <f t="shared" si="12"/>
        <v>ﾌﾟﾆｲｶｼｮｯｸﾜﾝ 素干し ｜ 1F釣具部屋【04】 ｜ J</v>
      </c>
      <c r="E300" s="11" t="str">
        <f t="shared" si="13"/>
        <v>1F釣具部屋</v>
      </c>
      <c r="F300" s="12" t="s">
        <v>21</v>
      </c>
      <c r="G300" s="11" t="str">
        <f t="shared" si="14"/>
        <v>04・1F釣具部屋J</v>
      </c>
      <c r="H300" s="3"/>
    </row>
    <row r="301" spans="1:8" ht="15" customHeight="1" x14ac:dyDescent="0.2">
      <c r="A301" s="10" t="s">
        <v>361</v>
      </c>
      <c r="B301" s="10" t="str">
        <f>IFERROR(
    INDEX([1]FSHIP!B:B,MATCH(A301,[1]FSHIP!A:A,0)),
    IFERROR(
        INDEX([1]釣具商品ship!B:B,MATCH(A301,[1]釣具商品ship!A:A,0)),
        IFERROR(
            INDEX([1]玩具商品ship!B:B,MATCH(A301,[1]玩具商品ship!A:A,0)),
            IFERROR(
                INDEX([1]OEMship!B:B,MATCH(A301,[1]OEMship!A:A,0)),
                IFERROR(
                    INDEX([1]NV6ship!B:B,MATCH(A301,[1]NV6ship!A:A,0)),
                    IFERROR(
                        INDEX([1]NVship!B:B,MATCH(A301,[1]NVship!A:A,0)),
                        IFERROR(
                            INDEX([1]海ship!B:B,MATCH(A301,[1]海ship!A:A,0)),
                            IFERROR(
                                INDEX([1]ｾﾚship!B:B,MATCH(A301,[1]ｾﾚship!A:A,0)),
                                IFERROR(
                                    INDEX([1]ｾﾚﾓﾆｰ商品ship!B:B,MATCH(A301,[1]ｾﾚﾓﾆｰ商品ship!A:A,0)),
                                    INDEX([2]NV!D:D,MATCH(A301,[2]NV!C:C,0))
                                )
                            )
                        )
                    )
                )
            )
        )
    )
)</f>
        <v>ﾌﾟﾆｲｶｼｮｯｸﾜﾝ 生</v>
      </c>
      <c r="C301" s="4" t="s">
        <v>6</v>
      </c>
      <c r="D301" s="10" t="str">
        <f t="shared" si="12"/>
        <v>ﾌﾟﾆｲｶｼｮｯｸﾜﾝ 生 ｜ 1F釣具部屋【04】 ｜ J</v>
      </c>
      <c r="E301" s="11" t="str">
        <f t="shared" si="13"/>
        <v>1F釣具部屋</v>
      </c>
      <c r="F301" s="12" t="s">
        <v>21</v>
      </c>
      <c r="G301" s="11" t="str">
        <f t="shared" si="14"/>
        <v>04・1F釣具部屋J</v>
      </c>
      <c r="H301" s="3"/>
    </row>
    <row r="302" spans="1:8" ht="15" customHeight="1" x14ac:dyDescent="0.2">
      <c r="A302" s="10" t="s">
        <v>109</v>
      </c>
      <c r="B302" s="10" t="str">
        <f>IFERROR(
    INDEX([1]FSHIP!B:B,MATCH(A302,[1]FSHIP!A:A,0)),
    IFERROR(
        INDEX([1]釣具商品ship!B:B,MATCH(A302,[1]釣具商品ship!A:A,0)),
        IFERROR(
            INDEX([1]玩具商品ship!B:B,MATCH(A302,[1]玩具商品ship!A:A,0)),
            IFERROR(
                INDEX([1]OEMship!B:B,MATCH(A302,[1]OEMship!A:A,0)),
                IFERROR(
                    INDEX([1]NV6ship!B:B,MATCH(A302,[1]NV6ship!A:A,0)),
                    IFERROR(
                        INDEX([1]NVship!B:B,MATCH(A302,[1]NVship!A:A,0)),
                        IFERROR(
                            INDEX([1]海ship!B:B,MATCH(A302,[1]海ship!A:A,0)),
                            IFERROR(
                                INDEX([1]ｾﾚship!B:B,MATCH(A302,[1]ｾﾚship!A:A,0)),
                                IFERROR(
                                    INDEX([1]ｾﾚﾓﾆｰ商品ship!B:B,MATCH(A302,[1]ｾﾚﾓﾆｰ商品ship!A:A,0)),
                                    INDEX([2]NV!D:D,MATCH(A302,[2]NV!C:C,0))
                                )
                            )
                        )
                    )
                )
            )
        )
    )
)</f>
        <v>ｱﾙｶﾘﾎﾞﾀﾝ電池 LR-41（3個ﾕﾆｯﾄ）</v>
      </c>
      <c r="C302" s="4" t="s">
        <v>5</v>
      </c>
      <c r="D302" s="10" t="str">
        <f t="shared" si="12"/>
        <v>ｱﾙｶﾘﾎﾞﾀﾝ電池 LR-41（3個ﾕﾆｯﾄ） ｜ 1F釣具部屋【04】 ｜ D</v>
      </c>
      <c r="E302" s="11" t="str">
        <f t="shared" si="13"/>
        <v>1F釣具部屋</v>
      </c>
      <c r="F302" s="12" t="s">
        <v>21</v>
      </c>
      <c r="G302" s="11" t="str">
        <f t="shared" si="14"/>
        <v>04・1F釣具部屋D</v>
      </c>
      <c r="H302" s="3"/>
    </row>
    <row r="303" spans="1:8" ht="15" customHeight="1" x14ac:dyDescent="0.2">
      <c r="A303" s="10" t="s">
        <v>134</v>
      </c>
      <c r="B303" s="10" t="e">
        <f>IFERROR(
    INDEX([1]FSHIP!B:B,MATCH(A303,[1]FSHIP!A:A,0)),
    IFERROR(
        INDEX([1]釣具商品ship!B:B,MATCH(A303,[1]釣具商品ship!A:A,0)),
        IFERROR(
            INDEX([1]玩具商品ship!B:B,MATCH(A303,[1]玩具商品ship!A:A,0)),
            IFERROR(
                INDEX([1]OEMship!B:B,MATCH(A303,[1]OEMship!A:A,0)),
                IFERROR(
                    INDEX([1]NV6ship!B:B,MATCH(A303,[1]NV6ship!A:A,0)),
                    IFERROR(
                        INDEX([1]NVship!B:B,MATCH(A303,[1]NVship!A:A,0)),
                        IFERROR(
                            INDEX([1]海ship!B:B,MATCH(A303,[1]海ship!A:A,0)),
                            IFERROR(
                                INDEX([1]ｾﾚship!B:B,MATCH(A303,[1]ｾﾚship!A:A,0)),
                                IFERROR(
                                    INDEX([1]ｾﾚﾓﾆｰ商品ship!B:B,MATCH(A303,[1]ｾﾚﾓﾆｰ商品ship!A:A,0)),
                                    INDEX([2]NV!D:D,MATCH(A303,[2]NV!C:C,0))
                                )
                            )
                        )
                    )
                )
            )
        )
    )
)</f>
        <v>#N/A</v>
      </c>
      <c r="C303" s="4" t="s">
        <v>3</v>
      </c>
      <c r="D303" s="10" t="e">
        <f t="shared" si="12"/>
        <v>#N/A</v>
      </c>
      <c r="E303" s="11" t="str">
        <f t="shared" si="13"/>
        <v>1F釣具部屋</v>
      </c>
      <c r="F303" s="12" t="s">
        <v>21</v>
      </c>
      <c r="G303" s="11" t="str">
        <f t="shared" si="14"/>
        <v>04・1F釣具部屋E</v>
      </c>
      <c r="H303" s="3"/>
    </row>
    <row r="304" spans="1:8" ht="15" customHeight="1" x14ac:dyDescent="0.2">
      <c r="A304" s="10" t="s">
        <v>202</v>
      </c>
      <c r="B304" s="10" t="str">
        <f>IFERROR(
    INDEX([1]FSHIP!B:B,MATCH(A304,[1]FSHIP!A:A,0)),
    IFERROR(
        INDEX([1]釣具商品ship!B:B,MATCH(A304,[1]釣具商品ship!A:A,0)),
        IFERROR(
            INDEX([1]玩具商品ship!B:B,MATCH(A304,[1]玩具商品ship!A:A,0)),
            IFERROR(
                INDEX([1]OEMship!B:B,MATCH(A304,[1]OEMship!A:A,0)),
                IFERROR(
                    INDEX([1]NV6ship!B:B,MATCH(A304,[1]NV6ship!A:A,0)),
                    IFERROR(
                        INDEX([1]NVship!B:B,MATCH(A304,[1]NVship!A:A,0)),
                        IFERROR(
                            INDEX([1]海ship!B:B,MATCH(A304,[1]海ship!A:A,0)),
                            IFERROR(
                                INDEX([1]ｾﾚship!B:B,MATCH(A304,[1]ｾﾚship!A:A,0)),
                                IFERROR(
                                    INDEX([1]ｾﾚﾓﾆｰ商品ship!B:B,MATCH(A304,[1]ｾﾚﾓﾆｰ商品ship!A:A,0)),
                                    INDEX([2]NV!D:D,MATCH(A304,[2]NV!C:C,0))
                                )
                            )
                        )
                    )
                )
            )
        )
    )
)</f>
        <v>水中ライト 大　Ｌ型－マルチ（１灯）</v>
      </c>
      <c r="C304" s="4" t="s">
        <v>8</v>
      </c>
      <c r="D304" s="10" t="str">
        <f t="shared" si="12"/>
        <v>水中ライト 大　Ｌ型－マルチ（１灯） ｜ 1F釣具部屋【04】 ｜ I</v>
      </c>
      <c r="E304" s="11" t="str">
        <f t="shared" si="13"/>
        <v>1F釣具部屋</v>
      </c>
      <c r="F304" s="12" t="s">
        <v>21</v>
      </c>
      <c r="G304" s="11" t="str">
        <f t="shared" si="14"/>
        <v>04・1F釣具部屋I</v>
      </c>
      <c r="H304" s="3"/>
    </row>
    <row r="305" spans="1:8" ht="15" customHeight="1" x14ac:dyDescent="0.2">
      <c r="A305" s="10" t="s">
        <v>201</v>
      </c>
      <c r="B305" s="10" t="str">
        <f>IFERROR(
    INDEX([1]FSHIP!B:B,MATCH(A305,[1]FSHIP!A:A,0)),
    IFERROR(
        INDEX([1]釣具商品ship!B:B,MATCH(A305,[1]釣具商品ship!A:A,0)),
        IFERROR(
            INDEX([1]玩具商品ship!B:B,MATCH(A305,[1]玩具商品ship!A:A,0)),
            IFERROR(
                INDEX([1]OEMship!B:B,MATCH(A305,[1]OEMship!A:A,0)),
                IFERROR(
                    INDEX([1]NV6ship!B:B,MATCH(A305,[1]NV6ship!A:A,0)),
                    IFERROR(
                        INDEX([1]NVship!B:B,MATCH(A305,[1]NVship!A:A,0)),
                        IFERROR(
                            INDEX([1]海ship!B:B,MATCH(A305,[1]海ship!A:A,0)),
                            IFERROR(
                                INDEX([1]ｾﾚship!B:B,MATCH(A305,[1]ｾﾚship!A:A,0)),
                                IFERROR(
                                    INDEX([1]ｾﾚﾓﾆｰ商品ship!B:B,MATCH(A305,[1]ｾﾚﾓﾆｰ商品ship!A:A,0)),
                                    INDEX([2]NV!D:D,MATCH(A305,[2]NV!C:C,0))
                                )
                            )
                        )
                    )
                )
            )
        )
    )
)</f>
        <v>水中ライト 小　輝泡－青（１灯）</v>
      </c>
      <c r="C305" s="4" t="s">
        <v>8</v>
      </c>
      <c r="D305" s="10" t="str">
        <f t="shared" si="12"/>
        <v>水中ライト 小　輝泡－青（１灯） ｜ 1F釣具部屋【04】 ｜ I</v>
      </c>
      <c r="E305" s="11" t="str">
        <f t="shared" si="13"/>
        <v>1F釣具部屋</v>
      </c>
      <c r="F305" s="12" t="s">
        <v>21</v>
      </c>
      <c r="G305" s="11" t="str">
        <f t="shared" si="14"/>
        <v>04・1F釣具部屋I</v>
      </c>
      <c r="H305" s="3"/>
    </row>
    <row r="306" spans="1:8" ht="15" customHeight="1" x14ac:dyDescent="0.2">
      <c r="A306" s="10" t="s">
        <v>135</v>
      </c>
      <c r="B306" s="10" t="str">
        <f>IFERROR(
    INDEX([1]FSHIP!B:B,MATCH(A306,[1]FSHIP!A:A,0)),
    IFERROR(
        INDEX([1]釣具商品ship!B:B,MATCH(A306,[1]釣具商品ship!A:A,0)),
        IFERROR(
            INDEX([1]玩具商品ship!B:B,MATCH(A306,[1]玩具商品ship!A:A,0)),
            IFERROR(
                INDEX([1]OEMship!B:B,MATCH(A306,[1]OEMship!A:A,0)),
                IFERROR(
                    INDEX([1]NV6ship!B:B,MATCH(A306,[1]NV6ship!A:A,0)),
                    IFERROR(
                        INDEX([1]NVship!B:B,MATCH(A306,[1]NVship!A:A,0)),
                        IFERROR(
                            INDEX([1]海ship!B:B,MATCH(A306,[1]海ship!A:A,0)),
                            IFERROR(
                                INDEX([1]ｾﾚship!B:B,MATCH(A306,[1]ｾﾚship!A:A,0)),
                                IFERROR(
                                    INDEX([1]ｾﾚﾓﾆｰ商品ship!B:B,MATCH(A306,[1]ｾﾚﾓﾆｰ商品ship!A:A,0)),
                                    INDEX([2]NV!D:D,MATCH(A306,[2]NV!C:C,0))
                                )
                            )
                        )
                    )
                )
            )
        )
    )
)</f>
        <v>流星Ⅱ　グリーン</v>
      </c>
      <c r="C306" s="4" t="s">
        <v>7</v>
      </c>
      <c r="D306" s="10" t="str">
        <f t="shared" si="12"/>
        <v>流星Ⅱ　グリーン ｜ 1F釣具部屋【04】 ｜ C</v>
      </c>
      <c r="E306" s="11" t="str">
        <f t="shared" si="13"/>
        <v>1F釣具部屋</v>
      </c>
      <c r="F306" s="12" t="s">
        <v>21</v>
      </c>
      <c r="G306" s="11" t="str">
        <f t="shared" si="14"/>
        <v>04・1F釣具部屋C</v>
      </c>
      <c r="H306" s="3"/>
    </row>
    <row r="307" spans="1:8" ht="15" customHeight="1" x14ac:dyDescent="0.2">
      <c r="A307" s="10" t="s">
        <v>136</v>
      </c>
      <c r="B307" s="10" t="str">
        <f>IFERROR(
    INDEX([1]FSHIP!B:B,MATCH(A307,[1]FSHIP!A:A,0)),
    IFERROR(
        INDEX([1]釣具商品ship!B:B,MATCH(A307,[1]釣具商品ship!A:A,0)),
        IFERROR(
            INDEX([1]玩具商品ship!B:B,MATCH(A307,[1]玩具商品ship!A:A,0)),
            IFERROR(
                INDEX([1]OEMship!B:B,MATCH(A307,[1]OEMship!A:A,0)),
                IFERROR(
                    INDEX([1]NV6ship!B:B,MATCH(A307,[1]NV6ship!A:A,0)),
                    IFERROR(
                        INDEX([1]NVship!B:B,MATCH(A307,[1]NVship!A:A,0)),
                        IFERROR(
                            INDEX([1]海ship!B:B,MATCH(A307,[1]海ship!A:A,0)),
                            IFERROR(
                                INDEX([1]ｾﾚship!B:B,MATCH(A307,[1]ｾﾚship!A:A,0)),
                                IFERROR(
                                    INDEX([1]ｾﾚﾓﾆｰ商品ship!B:B,MATCH(A307,[1]ｾﾚﾓﾆｰ商品ship!A:A,0)),
                                    INDEX([2]NV!D:D,MATCH(A307,[2]NV!C:C,0))
                                )
                            )
                        )
                    )
                )
            )
        )
    )
)</f>
        <v>流星Ⅱ　ブルー</v>
      </c>
      <c r="C307" s="4" t="s">
        <v>7</v>
      </c>
      <c r="D307" s="10" t="str">
        <f t="shared" si="12"/>
        <v>流星Ⅱ　ブルー ｜ 1F釣具部屋【04】 ｜ C</v>
      </c>
      <c r="E307" s="11" t="str">
        <f t="shared" si="13"/>
        <v>1F釣具部屋</v>
      </c>
      <c r="F307" s="12" t="s">
        <v>21</v>
      </c>
      <c r="G307" s="11" t="str">
        <f t="shared" si="14"/>
        <v>04・1F釣具部屋C</v>
      </c>
      <c r="H307" s="3"/>
    </row>
    <row r="308" spans="1:8" ht="15" customHeight="1" x14ac:dyDescent="0.2">
      <c r="A308" s="10" t="s">
        <v>137</v>
      </c>
      <c r="B308" s="10" t="str">
        <f>IFERROR(
    INDEX([1]FSHIP!B:B,MATCH(A308,[1]FSHIP!A:A,0)),
    IFERROR(
        INDEX([1]釣具商品ship!B:B,MATCH(A308,[1]釣具商品ship!A:A,0)),
        IFERROR(
            INDEX([1]玩具商品ship!B:B,MATCH(A308,[1]玩具商品ship!A:A,0)),
            IFERROR(
                INDEX([1]OEMship!B:B,MATCH(A308,[1]OEMship!A:A,0)),
                IFERROR(
                    INDEX([1]NV6ship!B:B,MATCH(A308,[1]NV6ship!A:A,0)),
                    IFERROR(
                        INDEX([1]NVship!B:B,MATCH(A308,[1]NVship!A:A,0)),
                        IFERROR(
                            INDEX([1]海ship!B:B,MATCH(A308,[1]海ship!A:A,0)),
                            IFERROR(
                                INDEX([1]ｾﾚship!B:B,MATCH(A308,[1]ｾﾚship!A:A,0)),
                                IFERROR(
                                    INDEX([1]ｾﾚﾓﾆｰ商品ship!B:B,MATCH(A308,[1]ｾﾚﾓﾆｰ商品ship!A:A,0)),
                                    INDEX([2]NV!D:D,MATCH(A308,[2]NV!C:C,0))
                                )
                            )
                        )
                    )
                )
            )
        )
    )
)</f>
        <v>UFOライト　カラーチェンジ</v>
      </c>
      <c r="C308" s="4" t="s">
        <v>7</v>
      </c>
      <c r="D308" s="10" t="str">
        <f t="shared" si="12"/>
        <v>UFOライト　カラーチェンジ ｜ 1F釣具部屋【04】 ｜ C</v>
      </c>
      <c r="E308" s="11" t="str">
        <f t="shared" si="13"/>
        <v>1F釣具部屋</v>
      </c>
      <c r="F308" s="12" t="s">
        <v>21</v>
      </c>
      <c r="G308" s="11" t="str">
        <f t="shared" si="14"/>
        <v>04・1F釣具部屋C</v>
      </c>
      <c r="H308" s="3"/>
    </row>
    <row r="309" spans="1:8" ht="15" customHeight="1" x14ac:dyDescent="0.2">
      <c r="A309" s="10" t="s">
        <v>58</v>
      </c>
      <c r="B309" s="10" t="str">
        <f>IFERROR(
    INDEX([1]FSHIP!B:B,MATCH(A309,[1]FSHIP!A:A,0)),
    IFERROR(
        INDEX([1]釣具商品ship!B:B,MATCH(A309,[1]釣具商品ship!A:A,0)),
        IFERROR(
            INDEX([1]玩具商品ship!B:B,MATCH(A309,[1]玩具商品ship!A:A,0)),
            IFERROR(
                INDEX([1]OEMship!B:B,MATCH(A309,[1]OEMship!A:A,0)),
                IFERROR(
                    INDEX([1]NV6ship!B:B,MATCH(A309,[1]NV6ship!A:A,0)),
                    IFERROR(
                        INDEX([1]NVship!B:B,MATCH(A309,[1]NVship!A:A,0)),
                        IFERROR(
                            INDEX([1]海ship!B:B,MATCH(A309,[1]海ship!A:A,0)),
                            IFERROR(
                                INDEX([1]ｾﾚship!B:B,MATCH(A309,[1]ｾﾚship!A:A,0)),
                                IFERROR(
                                    INDEX([1]ｾﾚﾓﾆｰ商品ship!B:B,MATCH(A309,[1]ｾﾚﾓﾆｰ商品ship!A:A,0)),
                                    INDEX([2]NV!D:D,MATCH(A309,[2]NV!C:C,0))
                                )
                            )
                        )
                    )
                )
            )
        )
    )
)</f>
        <v>クアトログリーン</v>
      </c>
      <c r="C309" s="4" t="s">
        <v>7</v>
      </c>
      <c r="D309" s="10" t="str">
        <f t="shared" si="12"/>
        <v>クアトログリーン ｜ 1F釣具部屋【04】 ｜ C</v>
      </c>
      <c r="E309" s="11" t="str">
        <f t="shared" si="13"/>
        <v>1F釣具部屋</v>
      </c>
      <c r="F309" s="12" t="s">
        <v>21</v>
      </c>
      <c r="G309" s="11" t="str">
        <f t="shared" si="14"/>
        <v>04・1F釣具部屋C</v>
      </c>
      <c r="H309" s="3"/>
    </row>
    <row r="310" spans="1:8" ht="15" customHeight="1" x14ac:dyDescent="0.2">
      <c r="A310" s="10" t="s">
        <v>59</v>
      </c>
      <c r="B310" s="10" t="str">
        <f>IFERROR(
    INDEX([1]FSHIP!B:B,MATCH(A310,[1]FSHIP!A:A,0)),
    IFERROR(
        INDEX([1]釣具商品ship!B:B,MATCH(A310,[1]釣具商品ship!A:A,0)),
        IFERROR(
            INDEX([1]玩具商品ship!B:B,MATCH(A310,[1]玩具商品ship!A:A,0)),
            IFERROR(
                INDEX([1]OEMship!B:B,MATCH(A310,[1]OEMship!A:A,0)),
                IFERROR(
                    INDEX([1]NV6ship!B:B,MATCH(A310,[1]NV6ship!A:A,0)),
                    IFERROR(
                        INDEX([1]NVship!B:B,MATCH(A310,[1]NVship!A:A,0)),
                        IFERROR(
                            INDEX([1]海ship!B:B,MATCH(A310,[1]海ship!A:A,0)),
                            IFERROR(
                                INDEX([1]ｾﾚship!B:B,MATCH(A310,[1]ｾﾚship!A:A,0)),
                                IFERROR(
                                    INDEX([1]ｾﾚﾓﾆｰ商品ship!B:B,MATCH(A310,[1]ｾﾚﾓﾆｰ商品ship!A:A,0)),
                                    INDEX([2]NV!D:D,MATCH(A310,[2]NV!C:C,0))
                                )
                            )
                        )
                    )
                )
            )
        )
    )
)</f>
        <v>クアトロブルー</v>
      </c>
      <c r="C310" s="4" t="s">
        <v>7</v>
      </c>
      <c r="D310" s="10" t="str">
        <f t="shared" si="12"/>
        <v>クアトロブルー ｜ 1F釣具部屋【04】 ｜ C</v>
      </c>
      <c r="E310" s="11" t="str">
        <f t="shared" si="13"/>
        <v>1F釣具部屋</v>
      </c>
      <c r="F310" s="12" t="s">
        <v>21</v>
      </c>
      <c r="G310" s="11" t="str">
        <f t="shared" si="14"/>
        <v>04・1F釣具部屋C</v>
      </c>
      <c r="H310" s="3"/>
    </row>
    <row r="311" spans="1:8" ht="15" customHeight="1" x14ac:dyDescent="0.2">
      <c r="A311" s="10" t="s">
        <v>60</v>
      </c>
      <c r="B311" s="10" t="str">
        <f>IFERROR(
    INDEX([1]FSHIP!B:B,MATCH(A311,[1]FSHIP!A:A,0)),
    IFERROR(
        INDEX([1]釣具商品ship!B:B,MATCH(A311,[1]釣具商品ship!A:A,0)),
        IFERROR(
            INDEX([1]玩具商品ship!B:B,MATCH(A311,[1]玩具商品ship!A:A,0)),
            IFERROR(
                INDEX([1]OEMship!B:B,MATCH(A311,[1]OEMship!A:A,0)),
                IFERROR(
                    INDEX([1]NV6ship!B:B,MATCH(A311,[1]NV6ship!A:A,0)),
                    IFERROR(
                        INDEX([1]NVship!B:B,MATCH(A311,[1]NVship!A:A,0)),
                        IFERROR(
                            INDEX([1]海ship!B:B,MATCH(A311,[1]海ship!A:A,0)),
                            IFERROR(
                                INDEX([1]ｾﾚship!B:B,MATCH(A311,[1]ｾﾚship!A:A,0)),
                                IFERROR(
                                    INDEX([1]ｾﾚﾓﾆｰ商品ship!B:B,MATCH(A311,[1]ｾﾚﾓﾆｰ商品ship!A:A,0)),
                                    INDEX([2]NV!D:D,MATCH(A311,[2]NV!C:C,0))
                                )
                            )
                        )
                    )
                )
            )
        )
    )
)</f>
        <v>クアトロレッド</v>
      </c>
      <c r="C311" s="4" t="s">
        <v>7</v>
      </c>
      <c r="D311" s="10" t="str">
        <f t="shared" si="12"/>
        <v>クアトロレッド ｜ 1F釣具部屋【04】 ｜ C</v>
      </c>
      <c r="E311" s="11" t="str">
        <f t="shared" si="13"/>
        <v>1F釣具部屋</v>
      </c>
      <c r="F311" s="12" t="s">
        <v>21</v>
      </c>
      <c r="G311" s="11" t="str">
        <f t="shared" si="14"/>
        <v>04・1F釣具部屋C</v>
      </c>
      <c r="H311" s="3"/>
    </row>
    <row r="312" spans="1:8" ht="15" customHeight="1" x14ac:dyDescent="0.2">
      <c r="A312" s="10" t="s">
        <v>61</v>
      </c>
      <c r="B312" s="10" t="str">
        <f>IFERROR(
    INDEX([1]FSHIP!B:B,MATCH(A312,[1]FSHIP!A:A,0)),
    IFERROR(
        INDEX([1]釣具商品ship!B:B,MATCH(A312,[1]釣具商品ship!A:A,0)),
        IFERROR(
            INDEX([1]玩具商品ship!B:B,MATCH(A312,[1]玩具商品ship!A:A,0)),
            IFERROR(
                INDEX([1]OEMship!B:B,MATCH(A312,[1]OEMship!A:A,0)),
                IFERROR(
                    INDEX([1]NV6ship!B:B,MATCH(A312,[1]NV6ship!A:A,0)),
                    IFERROR(
                        INDEX([1]NVship!B:B,MATCH(A312,[1]NVship!A:A,0)),
                        IFERROR(
                            INDEX([1]海ship!B:B,MATCH(A312,[1]海ship!A:A,0)),
                            IFERROR(
                                INDEX([1]ｾﾚship!B:B,MATCH(A312,[1]ｾﾚship!A:A,0)),
                                IFERROR(
                                    INDEX([1]ｾﾚﾓﾆｰ商品ship!B:B,MATCH(A312,[1]ｾﾚﾓﾆｰ商品ship!A:A,0)),
                                    INDEX([2]NV!D:D,MATCH(A312,[2]NV!C:C,0))
                                )
                            )
                        )
                    )
                )
            )
        )
    )
)</f>
        <v>クアトロＵＶ</v>
      </c>
      <c r="C312" s="4" t="s">
        <v>7</v>
      </c>
      <c r="D312" s="10" t="str">
        <f t="shared" si="12"/>
        <v>クアトロＵＶ ｜ 1F釣具部屋【04】 ｜ C</v>
      </c>
      <c r="E312" s="11" t="str">
        <f t="shared" si="13"/>
        <v>1F釣具部屋</v>
      </c>
      <c r="F312" s="12" t="s">
        <v>21</v>
      </c>
      <c r="G312" s="11" t="str">
        <f t="shared" si="14"/>
        <v>04・1F釣具部屋C</v>
      </c>
      <c r="H312" s="3"/>
    </row>
    <row r="313" spans="1:8" ht="15" customHeight="1" x14ac:dyDescent="0.2">
      <c r="A313" s="10" t="s">
        <v>33</v>
      </c>
      <c r="B313" s="10" t="str">
        <f>IFERROR(
    INDEX([1]FSHIP!B:B,MATCH(A313,[1]FSHIP!A:A,0)),
    IFERROR(
        INDEX([1]釣具商品ship!B:B,MATCH(A313,[1]釣具商品ship!A:A,0)),
        IFERROR(
            INDEX([1]玩具商品ship!B:B,MATCH(A313,[1]玩具商品ship!A:A,0)),
            IFERROR(
                INDEX([1]OEMship!B:B,MATCH(A313,[1]OEMship!A:A,0)),
                IFERROR(
                    INDEX([1]NV6ship!B:B,MATCH(A313,[1]NV6ship!A:A,0)),
                    IFERROR(
                        INDEX([1]NVship!B:B,MATCH(A313,[1]NVship!A:A,0)),
                        IFERROR(
                            INDEX([1]海ship!B:B,MATCH(A313,[1]海ship!A:A,0)),
                            IFERROR(
                                INDEX([1]ｾﾚship!B:B,MATCH(A313,[1]ｾﾚship!A:A,0)),
                                IFERROR(
                                    INDEX([1]ｾﾚﾓﾆｰ商品ship!B:B,MATCH(A313,[1]ｾﾚﾓﾆｰ商品ship!A:A,0)),
                                    INDEX([2]NV!D:D,MATCH(A313,[2]NV!C:C,0))
                                )
                            )
                        )
                    )
                )
            )
        )
    )
)</f>
        <v>ボルトⅡ　ブルー</v>
      </c>
      <c r="C313" s="4" t="s">
        <v>11</v>
      </c>
      <c r="D313" s="10" t="str">
        <f t="shared" si="12"/>
        <v>ボルトⅡ　ブルー ｜ 1F釣具部屋【04】 ｜ A</v>
      </c>
      <c r="E313" s="11" t="str">
        <f t="shared" si="13"/>
        <v>1F釣具部屋</v>
      </c>
      <c r="F313" s="12" t="s">
        <v>21</v>
      </c>
      <c r="G313" s="11" t="str">
        <f t="shared" si="14"/>
        <v>04・1F釣具部屋A</v>
      </c>
      <c r="H313" s="3"/>
    </row>
    <row r="314" spans="1:8" ht="15" customHeight="1" x14ac:dyDescent="0.2">
      <c r="A314" s="10" t="s">
        <v>34</v>
      </c>
      <c r="B314" s="10" t="str">
        <f>IFERROR(
    INDEX([1]FSHIP!B:B,MATCH(A314,[1]FSHIP!A:A,0)),
    IFERROR(
        INDEX([1]釣具商品ship!B:B,MATCH(A314,[1]釣具商品ship!A:A,0)),
        IFERROR(
            INDEX([1]玩具商品ship!B:B,MATCH(A314,[1]玩具商品ship!A:A,0)),
            IFERROR(
                INDEX([1]OEMship!B:B,MATCH(A314,[1]OEMship!A:A,0)),
                IFERROR(
                    INDEX([1]NV6ship!B:B,MATCH(A314,[1]NV6ship!A:A,0)),
                    IFERROR(
                        INDEX([1]NVship!B:B,MATCH(A314,[1]NVship!A:A,0)),
                        IFERROR(
                            INDEX([1]海ship!B:B,MATCH(A314,[1]海ship!A:A,0)),
                            IFERROR(
                                INDEX([1]ｾﾚship!B:B,MATCH(A314,[1]ｾﾚship!A:A,0)),
                                IFERROR(
                                    INDEX([1]ｾﾚﾓﾆｰ商品ship!B:B,MATCH(A314,[1]ｾﾚﾓﾆｰ商品ship!A:A,0)),
                                    INDEX([2]NV!D:D,MATCH(A314,[2]NV!C:C,0))
                                )
                            )
                        )
                    )
                )
            )
        )
    )
)</f>
        <v>ボルトⅡ　ホワイト</v>
      </c>
      <c r="C314" s="4" t="s">
        <v>11</v>
      </c>
      <c r="D314" s="10" t="str">
        <f t="shared" si="12"/>
        <v>ボルトⅡ　ホワイト ｜ 1F釣具部屋【04】 ｜ A</v>
      </c>
      <c r="E314" s="11" t="str">
        <f t="shared" si="13"/>
        <v>1F釣具部屋</v>
      </c>
      <c r="F314" s="12" t="s">
        <v>21</v>
      </c>
      <c r="G314" s="11" t="str">
        <f t="shared" si="14"/>
        <v>04・1F釣具部屋A</v>
      </c>
      <c r="H314" s="3"/>
    </row>
    <row r="315" spans="1:8" ht="15" customHeight="1" x14ac:dyDescent="0.2">
      <c r="A315" s="10" t="s">
        <v>35</v>
      </c>
      <c r="B315" s="10" t="str">
        <f>IFERROR(
    INDEX([1]FSHIP!B:B,MATCH(A315,[1]FSHIP!A:A,0)),
    IFERROR(
        INDEX([1]釣具商品ship!B:B,MATCH(A315,[1]釣具商品ship!A:A,0)),
        IFERROR(
            INDEX([1]玩具商品ship!B:B,MATCH(A315,[1]玩具商品ship!A:A,0)),
            IFERROR(
                INDEX([1]OEMship!B:B,MATCH(A315,[1]OEMship!A:A,0)),
                IFERROR(
                    INDEX([1]NV6ship!B:B,MATCH(A315,[1]NV6ship!A:A,0)),
                    IFERROR(
                        INDEX([1]NVship!B:B,MATCH(A315,[1]NVship!A:A,0)),
                        IFERROR(
                            INDEX([1]海ship!B:B,MATCH(A315,[1]海ship!A:A,0)),
                            IFERROR(
                                INDEX([1]ｾﾚship!B:B,MATCH(A315,[1]ｾﾚship!A:A,0)),
                                IFERROR(
                                    INDEX([1]ｾﾚﾓﾆｰ商品ship!B:B,MATCH(A315,[1]ｾﾚﾓﾆｰ商品ship!A:A,0)),
                                    INDEX([2]NV!D:D,MATCH(A315,[2]NV!C:C,0))
                                )
                            )
                        )
                    )
                )
            )
        )
    )
)</f>
        <v>ボルトⅡ　グリーン</v>
      </c>
      <c r="C315" s="4" t="s">
        <v>11</v>
      </c>
      <c r="D315" s="10" t="str">
        <f t="shared" si="12"/>
        <v>ボルトⅡ　グリーン ｜ 1F釣具部屋【04】 ｜ A</v>
      </c>
      <c r="E315" s="11" t="str">
        <f t="shared" si="13"/>
        <v>1F釣具部屋</v>
      </c>
      <c r="F315" s="12" t="s">
        <v>21</v>
      </c>
      <c r="G315" s="11" t="str">
        <f t="shared" si="14"/>
        <v>04・1F釣具部屋A</v>
      </c>
      <c r="H315" s="3"/>
    </row>
    <row r="316" spans="1:8" ht="15" customHeight="1" x14ac:dyDescent="0.2">
      <c r="A316" s="10" t="s">
        <v>306</v>
      </c>
      <c r="B316" s="10" t="str">
        <f>IFERROR(
    INDEX([1]FSHIP!B:B,MATCH(A316,[1]FSHIP!A:A,0)),
    IFERROR(
        INDEX([1]釣具商品ship!B:B,MATCH(A316,[1]釣具商品ship!A:A,0)),
        IFERROR(
            INDEX([1]玩具商品ship!B:B,MATCH(A316,[1]玩具商品ship!A:A,0)),
            IFERROR(
                INDEX([1]OEMship!B:B,MATCH(A316,[1]OEMship!A:A,0)),
                IFERROR(
                    INDEX([1]NV6ship!B:B,MATCH(A316,[1]NV6ship!A:A,0)),
                    IFERROR(
                        INDEX([1]NVship!B:B,MATCH(A316,[1]NVship!A:A,0)),
                        IFERROR(
                            INDEX([1]海ship!B:B,MATCH(A316,[1]海ship!A:A,0)),
                            IFERROR(
                                INDEX([1]ｾﾚship!B:B,MATCH(A316,[1]ｾﾚship!A:A,0)),
                                IFERROR(
                                    INDEX([1]ｾﾚﾓﾆｰ商品ship!B:B,MATCH(A316,[1]ｾﾚﾓﾆｰ商品ship!A:A,0)),
                                    INDEX([2]NV!D:D,MATCH(A316,[2]NV!C:C,0))
                                )
                            )
                        )
                    )
                )
            )
        )
    )
)</f>
        <v>水中ライトスパークル　ホワイト</v>
      </c>
      <c r="C316" s="4" t="s">
        <v>4</v>
      </c>
      <c r="D316" s="10" t="str">
        <f t="shared" si="12"/>
        <v>水中ライトスパークル　ホワイト ｜ 1F釣具部屋【04】 ｜ K</v>
      </c>
      <c r="E316" s="11" t="str">
        <f t="shared" si="13"/>
        <v>1F釣具部屋</v>
      </c>
      <c r="F316" s="12" t="s">
        <v>21</v>
      </c>
      <c r="G316" s="11" t="str">
        <f t="shared" si="14"/>
        <v>04・1F釣具部屋K</v>
      </c>
      <c r="H316" s="3"/>
    </row>
    <row r="317" spans="1:8" ht="15" customHeight="1" x14ac:dyDescent="0.2">
      <c r="A317" s="10" t="s">
        <v>305</v>
      </c>
      <c r="B317" s="10" t="str">
        <f>IFERROR(
    INDEX([1]FSHIP!B:B,MATCH(A317,[1]FSHIP!A:A,0)),
    IFERROR(
        INDEX([1]釣具商品ship!B:B,MATCH(A317,[1]釣具商品ship!A:A,0)),
        IFERROR(
            INDEX([1]玩具商品ship!B:B,MATCH(A317,[1]玩具商品ship!A:A,0)),
            IFERROR(
                INDEX([1]OEMship!B:B,MATCH(A317,[1]OEMship!A:A,0)),
                IFERROR(
                    INDEX([1]NV6ship!B:B,MATCH(A317,[1]NV6ship!A:A,0)),
                    IFERROR(
                        INDEX([1]NVship!B:B,MATCH(A317,[1]NVship!A:A,0)),
                        IFERROR(
                            INDEX([1]海ship!B:B,MATCH(A317,[1]海ship!A:A,0)),
                            IFERROR(
                                INDEX([1]ｾﾚship!B:B,MATCH(A317,[1]ｾﾚship!A:A,0)),
                                IFERROR(
                                    INDEX([1]ｾﾚﾓﾆｰ商品ship!B:B,MATCH(A317,[1]ｾﾚﾓﾆｰ商品ship!A:A,0)),
                                    INDEX([2]NV!D:D,MATCH(A317,[2]NV!C:C,0))
                                )
                            )
                        )
                    )
                )
            )
        )
    )
)</f>
        <v>水中ライトスパークル　ゴールド</v>
      </c>
      <c r="C317" s="4" t="s">
        <v>4</v>
      </c>
      <c r="D317" s="10" t="str">
        <f t="shared" si="12"/>
        <v>水中ライトスパークル　ゴールド ｜ 1F釣具部屋【04】 ｜ K</v>
      </c>
      <c r="E317" s="11" t="str">
        <f t="shared" si="13"/>
        <v>1F釣具部屋</v>
      </c>
      <c r="F317" s="12" t="s">
        <v>21</v>
      </c>
      <c r="G317" s="11" t="str">
        <f t="shared" si="14"/>
        <v>04・1F釣具部屋K</v>
      </c>
      <c r="H317" s="3"/>
    </row>
    <row r="318" spans="1:8" ht="15" customHeight="1" x14ac:dyDescent="0.2">
      <c r="A318" s="10" t="s">
        <v>304</v>
      </c>
      <c r="B318" s="10" t="str">
        <f>IFERROR(
    INDEX([1]FSHIP!B:B,MATCH(A318,[1]FSHIP!A:A,0)),
    IFERROR(
        INDEX([1]釣具商品ship!B:B,MATCH(A318,[1]釣具商品ship!A:A,0)),
        IFERROR(
            INDEX([1]玩具商品ship!B:B,MATCH(A318,[1]玩具商品ship!A:A,0)),
            IFERROR(
                INDEX([1]OEMship!B:B,MATCH(A318,[1]OEMship!A:A,0)),
                IFERROR(
                    INDEX([1]NV6ship!B:B,MATCH(A318,[1]NV6ship!A:A,0)),
                    IFERROR(
                        INDEX([1]NVship!B:B,MATCH(A318,[1]NVship!A:A,0)),
                        IFERROR(
                            INDEX([1]海ship!B:B,MATCH(A318,[1]海ship!A:A,0)),
                            IFERROR(
                                INDEX([1]ｾﾚship!B:B,MATCH(A318,[1]ｾﾚship!A:A,0)),
                                IFERROR(
                                    INDEX([1]ｾﾚﾓﾆｰ商品ship!B:B,MATCH(A318,[1]ｾﾚﾓﾆｰ商品ship!A:A,0)),
                                    INDEX([2]NV!D:D,MATCH(A318,[2]NV!C:C,0))
                                )
                            )
                        )
                    )
                )
            )
        )
    )
)</f>
        <v>水中ライトスパークル　ピンク</v>
      </c>
      <c r="C318" s="4" t="s">
        <v>4</v>
      </c>
      <c r="D318" s="10" t="str">
        <f t="shared" si="12"/>
        <v>水中ライトスパークル　ピンク ｜ 1F釣具部屋【04】 ｜ K</v>
      </c>
      <c r="E318" s="11" t="str">
        <f t="shared" si="13"/>
        <v>1F釣具部屋</v>
      </c>
      <c r="F318" s="12" t="s">
        <v>21</v>
      </c>
      <c r="G318" s="11" t="str">
        <f t="shared" si="14"/>
        <v>04・1F釣具部屋K</v>
      </c>
      <c r="H318" s="3"/>
    </row>
    <row r="319" spans="1:8" ht="15" customHeight="1" x14ac:dyDescent="0.2">
      <c r="A319" s="10" t="s">
        <v>62</v>
      </c>
      <c r="B319" s="10" t="str">
        <f>IFERROR(
    INDEX([1]FSHIP!B:B,MATCH(A319,[1]FSHIP!A:A,0)),
    IFERROR(
        INDEX([1]釣具商品ship!B:B,MATCH(A319,[1]釣具商品ship!A:A,0)),
        IFERROR(
            INDEX([1]玩具商品ship!B:B,MATCH(A319,[1]玩具商品ship!A:A,0)),
            IFERROR(
                INDEX([1]OEMship!B:B,MATCH(A319,[1]OEMship!A:A,0)),
                IFERROR(
                    INDEX([1]NV6ship!B:B,MATCH(A319,[1]NV6ship!A:A,0)),
                    IFERROR(
                        INDEX([1]NVship!B:B,MATCH(A319,[1]NVship!A:A,0)),
                        IFERROR(
                            INDEX([1]海ship!B:B,MATCH(A319,[1]海ship!A:A,0)),
                            IFERROR(
                                INDEX([1]ｾﾚship!B:B,MATCH(A319,[1]ｾﾚship!A:A,0)),
                                IFERROR(
                                    INDEX([1]ｾﾚﾓﾆｰ商品ship!B:B,MATCH(A319,[1]ｾﾚﾓﾆｰ商品ship!A:A,0)),
                                    INDEX([2]NV!D:D,MATCH(A319,[2]NV!C:C,0))
                                )
                            )
                        )
                    )
                )
            )
        )
    )
)</f>
        <v>クアトロ　カラーチェンジ</v>
      </c>
      <c r="C319" s="4" t="s">
        <v>7</v>
      </c>
      <c r="D319" s="10" t="str">
        <f t="shared" si="12"/>
        <v>クアトロ　カラーチェンジ ｜ 1F釣具部屋【04】 ｜ C</v>
      </c>
      <c r="E319" s="11" t="str">
        <f t="shared" si="13"/>
        <v>1F釣具部屋</v>
      </c>
      <c r="F319" s="12" t="s">
        <v>21</v>
      </c>
      <c r="G319" s="11" t="str">
        <f t="shared" si="14"/>
        <v>04・1F釣具部屋C</v>
      </c>
      <c r="H319" s="3"/>
    </row>
    <row r="320" spans="1:8" ht="15" customHeight="1" x14ac:dyDescent="0.2">
      <c r="A320" s="10" t="s">
        <v>363</v>
      </c>
      <c r="B320" s="10" t="str">
        <f>IFERROR(
    INDEX([1]FSHIP!B:B,MATCH(A320,[1]FSHIP!A:A,0)),
    IFERROR(
        INDEX([1]釣具商品ship!B:B,MATCH(A320,[1]釣具商品ship!A:A,0)),
        IFERROR(
            INDEX([1]玩具商品ship!B:B,MATCH(A320,[1]玩具商品ship!A:A,0)),
            IFERROR(
                INDEX([1]OEMship!B:B,MATCH(A320,[1]OEMship!A:A,0)),
                IFERROR(
                    INDEX([1]NV6ship!B:B,MATCH(A320,[1]NV6ship!A:A,0)),
                    IFERROR(
                        INDEX([1]NVship!B:B,MATCH(A320,[1]NVship!A:A,0)),
                        IFERROR(
                            INDEX([1]海ship!B:B,MATCH(A320,[1]海ship!A:A,0)),
                            IFERROR(
                                INDEX([1]ｾﾚship!B:B,MATCH(A320,[1]ｾﾚship!A:A,0)),
                                IFERROR(
                                    INDEX([1]ｾﾚﾓﾆｰ商品ship!B:B,MATCH(A320,[1]ｾﾚﾓﾆｰ商品ship!A:A,0)),
                                    INDEX([2]NV!D:D,MATCH(A320,[2]NV!C:C,0))
                                )
                            )
                        )
                    )
                )
            )
        )
    )
)</f>
        <v>クアトロ　4カラー</v>
      </c>
      <c r="C320" s="4" t="s">
        <v>362</v>
      </c>
      <c r="D320" s="10" t="str">
        <f t="shared" si="12"/>
        <v>クアトロ　4カラー ｜ 1F釣具部屋【04】 ｜ C</v>
      </c>
      <c r="E320" s="11" t="str">
        <f t="shared" si="13"/>
        <v>1F釣具部屋</v>
      </c>
      <c r="F320" s="12" t="s">
        <v>364</v>
      </c>
      <c r="G320" s="11" t="str">
        <f t="shared" si="14"/>
        <v>04・1F釣具部屋C</v>
      </c>
      <c r="H320" s="3"/>
    </row>
    <row r="321" spans="1:8" ht="15" customHeight="1" x14ac:dyDescent="0.2">
      <c r="A321" s="10" t="s">
        <v>36</v>
      </c>
      <c r="B321" s="10" t="str">
        <f>IFERROR(
    INDEX([1]FSHIP!B:B,MATCH(A321,[1]FSHIP!A:A,0)),
    IFERROR(
        INDEX([1]釣具商品ship!B:B,MATCH(A321,[1]釣具商品ship!A:A,0)),
        IFERROR(
            INDEX([1]玩具商品ship!B:B,MATCH(A321,[1]玩具商品ship!A:A,0)),
            IFERROR(
                INDEX([1]OEMship!B:B,MATCH(A321,[1]OEMship!A:A,0)),
                IFERROR(
                    INDEX([1]NV6ship!B:B,MATCH(A321,[1]NV6ship!A:A,0)),
                    IFERROR(
                        INDEX([1]NVship!B:B,MATCH(A321,[1]NVship!A:A,0)),
                        IFERROR(
                            INDEX([1]海ship!B:B,MATCH(A321,[1]海ship!A:A,0)),
                            IFERROR(
                                INDEX([1]ｾﾚship!B:B,MATCH(A321,[1]ｾﾚship!A:A,0)),
                                IFERROR(
                                    INDEX([1]ｾﾚﾓﾆｰ商品ship!B:B,MATCH(A321,[1]ｾﾚﾓﾆｰ商品ship!A:A,0)),
                                    INDEX([2]NV!D:D,MATCH(A321,[2]NV!C:C,0))
                                )
                            )
                        )
                    )
                )
            )
        )
    )
)</f>
        <v>ボルトⅡ オーロラホワイト</v>
      </c>
      <c r="C321" s="4" t="s">
        <v>11</v>
      </c>
      <c r="D321" s="10" t="str">
        <f t="shared" si="12"/>
        <v>ボルトⅡ オーロラホワイト ｜ 1F釣具部屋【04】 ｜ A</v>
      </c>
      <c r="E321" s="11" t="str">
        <f t="shared" si="13"/>
        <v>1F釣具部屋</v>
      </c>
      <c r="F321" s="12" t="s">
        <v>21</v>
      </c>
      <c r="G321" s="11" t="str">
        <f t="shared" si="14"/>
        <v>04・1F釣具部屋A</v>
      </c>
      <c r="H321" s="3"/>
    </row>
    <row r="322" spans="1:8" ht="15" customHeight="1" x14ac:dyDescent="0.2">
      <c r="A322" s="10" t="s">
        <v>37</v>
      </c>
      <c r="B322" s="10" t="str">
        <f>IFERROR(
    INDEX([1]FSHIP!B:B,MATCH(A322,[1]FSHIP!A:A,0)),
    IFERROR(
        INDEX([1]釣具商品ship!B:B,MATCH(A322,[1]釣具商品ship!A:A,0)),
        IFERROR(
            INDEX([1]玩具商品ship!B:B,MATCH(A322,[1]玩具商品ship!A:A,0)),
            IFERROR(
                INDEX([1]OEMship!B:B,MATCH(A322,[1]OEMship!A:A,0)),
                IFERROR(
                    INDEX([1]NV6ship!B:B,MATCH(A322,[1]NV6ship!A:A,0)),
                    IFERROR(
                        INDEX([1]NVship!B:B,MATCH(A322,[1]NVship!A:A,0)),
                        IFERROR(
                            INDEX([1]海ship!B:B,MATCH(A322,[1]海ship!A:A,0)),
                            IFERROR(
                                INDEX([1]ｾﾚship!B:B,MATCH(A322,[1]ｾﾚship!A:A,0)),
                                IFERROR(
                                    INDEX([1]ｾﾚﾓﾆｰ商品ship!B:B,MATCH(A322,[1]ｾﾚﾓﾆｰ商品ship!A:A,0)),
                                    INDEX([2]NV!D:D,MATCH(A322,[2]NV!C:C,0))
                                )
                            )
                        )
                    )
                )
            )
        )
    )
)</f>
        <v>ボルトⅡ プランクトンブルー</v>
      </c>
      <c r="C322" s="4" t="s">
        <v>11</v>
      </c>
      <c r="D322" s="10" t="str">
        <f t="shared" ref="D322:D385" si="15">B322&amp;" ｜ "&amp;E322&amp;"【"&amp;F322&amp;"】 ｜ "&amp;C322</f>
        <v>ボルトⅡ プランクトンブルー ｜ 1F釣具部屋【04】 ｜ A</v>
      </c>
      <c r="E322" s="11" t="str">
        <f t="shared" ref="E322:E385" si="16">INDEX(K:K, MATCH(F322, J:J, 0))</f>
        <v>1F釣具部屋</v>
      </c>
      <c r="F322" s="12" t="s">
        <v>21</v>
      </c>
      <c r="G322" s="11" t="str">
        <f t="shared" ref="G322:G385" si="17">F322&amp;"・"&amp;E322&amp;C322</f>
        <v>04・1F釣具部屋A</v>
      </c>
      <c r="H322" s="3"/>
    </row>
    <row r="323" spans="1:8" ht="15" customHeight="1" x14ac:dyDescent="0.2">
      <c r="A323" s="10" t="s">
        <v>365</v>
      </c>
      <c r="B323" s="10" t="str">
        <f>IFERROR(
    INDEX([1]FSHIP!B:B,MATCH(A323,[1]FSHIP!A:A,0)),
    IFERROR(
        INDEX([1]釣具商品ship!B:B,MATCH(A323,[1]釣具商品ship!A:A,0)),
        IFERROR(
            INDEX([1]玩具商品ship!B:B,MATCH(A323,[1]玩具商品ship!A:A,0)),
            IFERROR(
                INDEX([1]OEMship!B:B,MATCH(A323,[1]OEMship!A:A,0)),
                IFERROR(
                    INDEX([1]NV6ship!B:B,MATCH(A323,[1]NV6ship!A:A,0)),
                    IFERROR(
                        INDEX([1]NVship!B:B,MATCH(A323,[1]NVship!A:A,0)),
                        IFERROR(
                            INDEX([1]海ship!B:B,MATCH(A323,[1]海ship!A:A,0)),
                            IFERROR(
                                INDEX([1]ｾﾚship!B:B,MATCH(A323,[1]ｾﾚship!A:A,0)),
                                IFERROR(
                                    INDEX([1]ｾﾚﾓﾆｰ商品ship!B:B,MATCH(A323,[1]ｾﾚﾓﾆｰ商品ship!A:A,0)),
                                    INDEX([2]NV!D:D,MATCH(A323,[2]NV!C:C,0))
                                )
                            )
                        )
                    )
                )
            )
        )
    )
)</f>
        <v>クアトロ プランクトンブルー</v>
      </c>
      <c r="C323" s="4" t="s">
        <v>362</v>
      </c>
      <c r="D323" s="10" t="str">
        <f t="shared" si="15"/>
        <v>クアトロ プランクトンブルー ｜ 1F釣具部屋【04】 ｜ C</v>
      </c>
      <c r="E323" s="11" t="str">
        <f t="shared" si="16"/>
        <v>1F釣具部屋</v>
      </c>
      <c r="F323" s="12" t="s">
        <v>364</v>
      </c>
      <c r="G323" s="11" t="str">
        <f t="shared" si="17"/>
        <v>04・1F釣具部屋C</v>
      </c>
      <c r="H323" s="3"/>
    </row>
    <row r="324" spans="1:8" ht="15" customHeight="1" x14ac:dyDescent="0.2">
      <c r="A324" s="10" t="s">
        <v>239</v>
      </c>
      <c r="B324" s="10" t="str">
        <f>IFERROR(
    INDEX([1]FSHIP!B:B,MATCH(A324,[1]FSHIP!A:A,0)),
    IFERROR(
        INDEX([1]釣具商品ship!B:B,MATCH(A324,[1]釣具商品ship!A:A,0)),
        IFERROR(
            INDEX([1]玩具商品ship!B:B,MATCH(A324,[1]玩具商品ship!A:A,0)),
            IFERROR(
                INDEX([1]OEMship!B:B,MATCH(A324,[1]OEMship!A:A,0)),
                IFERROR(
                    INDEX([1]NV6ship!B:B,MATCH(A324,[1]NV6ship!A:A,0)),
                    IFERROR(
                        INDEX([1]NVship!B:B,MATCH(A324,[1]NVship!A:A,0)),
                        IFERROR(
                            INDEX([1]海ship!B:B,MATCH(A324,[1]海ship!A:A,0)),
                            IFERROR(
                                INDEX([1]ｾﾚship!B:B,MATCH(A324,[1]ｾﾚship!A:A,0)),
                                IFERROR(
                                    INDEX([1]ｾﾚﾓﾆｰ商品ship!B:B,MATCH(A324,[1]ｾﾚﾓﾆｰ商品ship!A:A,0)),
                                    INDEX([2]NV!D:D,MATCH(A324,[2]NV!C:C,0))
                                )
                            )
                        )
                    )
                )
            )
        )
    )
)</f>
        <v>ソニック（Ｓ） レッド＆レッド</v>
      </c>
      <c r="C324" s="4" t="s">
        <v>6</v>
      </c>
      <c r="D324" s="10" t="str">
        <f t="shared" si="15"/>
        <v>ソニック（Ｓ） レッド＆レッド ｜ 1F釣具部屋【04】 ｜ J</v>
      </c>
      <c r="E324" s="11" t="str">
        <f t="shared" si="16"/>
        <v>1F釣具部屋</v>
      </c>
      <c r="F324" s="12" t="s">
        <v>21</v>
      </c>
      <c r="G324" s="11" t="str">
        <f t="shared" si="17"/>
        <v>04・1F釣具部屋J</v>
      </c>
      <c r="H324" s="3"/>
    </row>
    <row r="325" spans="1:8" ht="15" customHeight="1" x14ac:dyDescent="0.2">
      <c r="A325" s="10" t="s">
        <v>240</v>
      </c>
      <c r="B325" s="10" t="str">
        <f>IFERROR(
    INDEX([1]FSHIP!B:B,MATCH(A325,[1]FSHIP!A:A,0)),
    IFERROR(
        INDEX([1]釣具商品ship!B:B,MATCH(A325,[1]釣具商品ship!A:A,0)),
        IFERROR(
            INDEX([1]玩具商品ship!B:B,MATCH(A325,[1]玩具商品ship!A:A,0)),
            IFERROR(
                INDEX([1]OEMship!B:B,MATCH(A325,[1]OEMship!A:A,0)),
                IFERROR(
                    INDEX([1]NV6ship!B:B,MATCH(A325,[1]NV6ship!A:A,0)),
                    IFERROR(
                        INDEX([1]NVship!B:B,MATCH(A325,[1]NVship!A:A,0)),
                        IFERROR(
                            INDEX([1]海ship!B:B,MATCH(A325,[1]海ship!A:A,0)),
                            IFERROR(
                                INDEX([1]ｾﾚship!B:B,MATCH(A325,[1]ｾﾚship!A:A,0)),
                                IFERROR(
                                    INDEX([1]ｾﾚﾓﾆｰ商品ship!B:B,MATCH(A325,[1]ｾﾚﾓﾆｰ商品ship!A:A,0)),
                                    INDEX([2]NV!D:D,MATCH(A325,[2]NV!C:C,0))
                                )
                            )
                        )
                    )
                )
            )
        )
    )
)</f>
        <v>ソニック（Ｍ） ブルー＆ブルー</v>
      </c>
      <c r="C325" s="4" t="s">
        <v>6</v>
      </c>
      <c r="D325" s="10" t="str">
        <f t="shared" si="15"/>
        <v>ソニック（Ｍ） ブルー＆ブルー ｜ 1F釣具部屋【04】 ｜ J</v>
      </c>
      <c r="E325" s="11" t="str">
        <f t="shared" si="16"/>
        <v>1F釣具部屋</v>
      </c>
      <c r="F325" s="12" t="s">
        <v>21</v>
      </c>
      <c r="G325" s="11" t="str">
        <f t="shared" si="17"/>
        <v>04・1F釣具部屋J</v>
      </c>
      <c r="H325" s="3"/>
    </row>
    <row r="326" spans="1:8" ht="15" customHeight="1" x14ac:dyDescent="0.2">
      <c r="A326" s="10" t="s">
        <v>241</v>
      </c>
      <c r="B326" s="10" t="str">
        <f>IFERROR(
    INDEX([1]FSHIP!B:B,MATCH(A326,[1]FSHIP!A:A,0)),
    IFERROR(
        INDEX([1]釣具商品ship!B:B,MATCH(A326,[1]釣具商品ship!A:A,0)),
        IFERROR(
            INDEX([1]玩具商品ship!B:B,MATCH(A326,[1]玩具商品ship!A:A,0)),
            IFERROR(
                INDEX([1]OEMship!B:B,MATCH(A326,[1]OEMship!A:A,0)),
                IFERROR(
                    INDEX([1]NV6ship!B:B,MATCH(A326,[1]NV6ship!A:A,0)),
                    IFERROR(
                        INDEX([1]NVship!B:B,MATCH(A326,[1]NVship!A:A,0)),
                        IFERROR(
                            INDEX([1]海ship!B:B,MATCH(A326,[1]海ship!A:A,0)),
                            IFERROR(
                                INDEX([1]ｾﾚship!B:B,MATCH(A326,[1]ｾﾚship!A:A,0)),
                                IFERROR(
                                    INDEX([1]ｾﾚﾓﾆｰ商品ship!B:B,MATCH(A326,[1]ｾﾚﾓﾆｰ商品ship!A:A,0)),
                                    INDEX([2]NV!D:D,MATCH(A326,[2]NV!C:C,0))
                                )
                            )
                        )
                    )
                )
            )
        )
    )
)</f>
        <v>ソニック（Ｍ） グリーン＆グリーン</v>
      </c>
      <c r="C326" s="4" t="s">
        <v>6</v>
      </c>
      <c r="D326" s="10" t="str">
        <f t="shared" si="15"/>
        <v>ソニック（Ｍ） グリーン＆グリーン ｜ 1F釣具部屋【04】 ｜ J</v>
      </c>
      <c r="E326" s="11" t="str">
        <f t="shared" si="16"/>
        <v>1F釣具部屋</v>
      </c>
      <c r="F326" s="12" t="s">
        <v>21</v>
      </c>
      <c r="G326" s="11" t="str">
        <f t="shared" si="17"/>
        <v>04・1F釣具部屋J</v>
      </c>
      <c r="H326" s="3"/>
    </row>
    <row r="327" spans="1:8" ht="15" customHeight="1" x14ac:dyDescent="0.2">
      <c r="A327" s="10" t="s">
        <v>242</v>
      </c>
      <c r="B327" s="10" t="str">
        <f>IFERROR(
    INDEX([1]FSHIP!B:B,MATCH(A327,[1]FSHIP!A:A,0)),
    IFERROR(
        INDEX([1]釣具商品ship!B:B,MATCH(A327,[1]釣具商品ship!A:A,0)),
        IFERROR(
            INDEX([1]玩具商品ship!B:B,MATCH(A327,[1]玩具商品ship!A:A,0)),
            IFERROR(
                INDEX([1]OEMship!B:B,MATCH(A327,[1]OEMship!A:A,0)),
                IFERROR(
                    INDEX([1]NV6ship!B:B,MATCH(A327,[1]NV6ship!A:A,0)),
                    IFERROR(
                        INDEX([1]NVship!B:B,MATCH(A327,[1]NVship!A:A,0)),
                        IFERROR(
                            INDEX([1]海ship!B:B,MATCH(A327,[1]海ship!A:A,0)),
                            IFERROR(
                                INDEX([1]ｾﾚship!B:B,MATCH(A327,[1]ｾﾚship!A:A,0)),
                                IFERROR(
                                    INDEX([1]ｾﾚﾓﾆｰ商品ship!B:B,MATCH(A327,[1]ｾﾚﾓﾆｰ商品ship!A:A,0)),
                                    INDEX([2]NV!D:D,MATCH(A327,[2]NV!C:C,0))
                                )
                            )
                        )
                    )
                )
            )
        )
    )
)</f>
        <v>ソニック（Ｍ） レッド＆レッド</v>
      </c>
      <c r="C327" s="4" t="s">
        <v>6</v>
      </c>
      <c r="D327" s="10" t="str">
        <f t="shared" si="15"/>
        <v>ソニック（Ｍ） レッド＆レッド ｜ 1F釣具部屋【04】 ｜ J</v>
      </c>
      <c r="E327" s="11" t="str">
        <f t="shared" si="16"/>
        <v>1F釣具部屋</v>
      </c>
      <c r="F327" s="12" t="s">
        <v>21</v>
      </c>
      <c r="G327" s="11" t="str">
        <f t="shared" si="17"/>
        <v>04・1F釣具部屋J</v>
      </c>
      <c r="H327" s="3"/>
    </row>
    <row r="328" spans="1:8" ht="15" customHeight="1" x14ac:dyDescent="0.2">
      <c r="A328" s="10" t="s">
        <v>243</v>
      </c>
      <c r="B328" s="10" t="str">
        <f>IFERROR(
    INDEX([1]FSHIP!B:B,MATCH(A328,[1]FSHIP!A:A,0)),
    IFERROR(
        INDEX([1]釣具商品ship!B:B,MATCH(A328,[1]釣具商品ship!A:A,0)),
        IFERROR(
            INDEX([1]玩具商品ship!B:B,MATCH(A328,[1]玩具商品ship!A:A,0)),
            IFERROR(
                INDEX([1]OEMship!B:B,MATCH(A328,[1]OEMship!A:A,0)),
                IFERROR(
                    INDEX([1]NV6ship!B:B,MATCH(A328,[1]NV6ship!A:A,0)),
                    IFERROR(
                        INDEX([1]NVship!B:B,MATCH(A328,[1]NVship!A:A,0)),
                        IFERROR(
                            INDEX([1]海ship!B:B,MATCH(A328,[1]海ship!A:A,0)),
                            IFERROR(
                                INDEX([1]ｾﾚship!B:B,MATCH(A328,[1]ｾﾚship!A:A,0)),
                                IFERROR(
                                    INDEX([1]ｾﾚﾓﾆｰ商品ship!B:B,MATCH(A328,[1]ｾﾚﾓﾆｰ商品ship!A:A,0)),
                                    INDEX([2]NV!D:D,MATCH(A328,[2]NV!C:C,0))
                                )
                            )
                        )
                    )
                )
            )
        )
    )
)</f>
        <v>ソニック（Ｍ） ＵＶ＆ピンク</v>
      </c>
      <c r="C328" s="4" t="s">
        <v>6</v>
      </c>
      <c r="D328" s="10" t="str">
        <f t="shared" si="15"/>
        <v>ソニック（Ｍ） ＵＶ＆ピンク ｜ 1F釣具部屋【04】 ｜ J</v>
      </c>
      <c r="E328" s="11" t="str">
        <f t="shared" si="16"/>
        <v>1F釣具部屋</v>
      </c>
      <c r="F328" s="12" t="s">
        <v>21</v>
      </c>
      <c r="G328" s="11" t="str">
        <f t="shared" si="17"/>
        <v>04・1F釣具部屋J</v>
      </c>
      <c r="H328" s="3"/>
    </row>
    <row r="329" spans="1:8" ht="15" customHeight="1" x14ac:dyDescent="0.2">
      <c r="A329" s="10" t="s">
        <v>244</v>
      </c>
      <c r="B329" s="10" t="str">
        <f>IFERROR(
    INDEX([1]FSHIP!B:B,MATCH(A329,[1]FSHIP!A:A,0)),
    IFERROR(
        INDEX([1]釣具商品ship!B:B,MATCH(A329,[1]釣具商品ship!A:A,0)),
        IFERROR(
            INDEX([1]玩具商品ship!B:B,MATCH(A329,[1]玩具商品ship!A:A,0)),
            IFERROR(
                INDEX([1]OEMship!B:B,MATCH(A329,[1]OEMship!A:A,0)),
                IFERROR(
                    INDEX([1]NV6ship!B:B,MATCH(A329,[1]NV6ship!A:A,0)),
                    IFERROR(
                        INDEX([1]NVship!B:B,MATCH(A329,[1]NVship!A:A,0)),
                        IFERROR(
                            INDEX([1]海ship!B:B,MATCH(A329,[1]海ship!A:A,0)),
                            IFERROR(
                                INDEX([1]ｾﾚship!B:B,MATCH(A329,[1]ｾﾚship!A:A,0)),
                                IFERROR(
                                    INDEX([1]ｾﾚﾓﾆｰ商品ship!B:B,MATCH(A329,[1]ｾﾚﾓﾆｰ商品ship!A:A,0)),
                                    INDEX([2]NV!D:D,MATCH(A329,[2]NV!C:C,0))
                                )
                            )
                        )
                    )
                )
            )
        )
    )
)</f>
        <v>ビットⅡ　グリーン</v>
      </c>
      <c r="C329" s="4" t="s">
        <v>6</v>
      </c>
      <c r="D329" s="10" t="str">
        <f t="shared" si="15"/>
        <v>ビットⅡ　グリーン ｜ 1F釣具部屋【04】 ｜ J</v>
      </c>
      <c r="E329" s="11" t="str">
        <f t="shared" si="16"/>
        <v>1F釣具部屋</v>
      </c>
      <c r="F329" s="12" t="s">
        <v>21</v>
      </c>
      <c r="G329" s="11" t="str">
        <f t="shared" si="17"/>
        <v>04・1F釣具部屋J</v>
      </c>
      <c r="H329" s="3"/>
    </row>
    <row r="330" spans="1:8" ht="15" customHeight="1" x14ac:dyDescent="0.2">
      <c r="A330" s="10" t="s">
        <v>245</v>
      </c>
      <c r="B330" s="10" t="str">
        <f>IFERROR(
    INDEX([1]FSHIP!B:B,MATCH(A330,[1]FSHIP!A:A,0)),
    IFERROR(
        INDEX([1]釣具商品ship!B:B,MATCH(A330,[1]釣具商品ship!A:A,0)),
        IFERROR(
            INDEX([1]玩具商品ship!B:B,MATCH(A330,[1]玩具商品ship!A:A,0)),
            IFERROR(
                INDEX([1]OEMship!B:B,MATCH(A330,[1]OEMship!A:A,0)),
                IFERROR(
                    INDEX([1]NV6ship!B:B,MATCH(A330,[1]NV6ship!A:A,0)),
                    IFERROR(
                        INDEX([1]NVship!B:B,MATCH(A330,[1]NVship!A:A,0)),
                        IFERROR(
                            INDEX([1]海ship!B:B,MATCH(A330,[1]海ship!A:A,0)),
                            IFERROR(
                                INDEX([1]ｾﾚship!B:B,MATCH(A330,[1]ｾﾚship!A:A,0)),
                                IFERROR(
                                    INDEX([1]ｾﾚﾓﾆｰ商品ship!B:B,MATCH(A330,[1]ｾﾚﾓﾆｰ商品ship!A:A,0)),
                                    INDEX([2]NV!D:D,MATCH(A330,[2]NV!C:C,0))
                                )
                            )
                        )
                    )
                )
            )
        )
    )
)</f>
        <v>ビットⅡ　レッド</v>
      </c>
      <c r="C330" s="4" t="s">
        <v>6</v>
      </c>
      <c r="D330" s="10" t="str">
        <f t="shared" si="15"/>
        <v>ビットⅡ　レッド ｜ 1F釣具部屋【04】 ｜ J</v>
      </c>
      <c r="E330" s="11" t="str">
        <f t="shared" si="16"/>
        <v>1F釣具部屋</v>
      </c>
      <c r="F330" s="12" t="s">
        <v>21</v>
      </c>
      <c r="G330" s="11" t="str">
        <f t="shared" si="17"/>
        <v>04・1F釣具部屋J</v>
      </c>
      <c r="H330" s="3"/>
    </row>
    <row r="331" spans="1:8" ht="15" customHeight="1" x14ac:dyDescent="0.2">
      <c r="A331" s="10" t="s">
        <v>246</v>
      </c>
      <c r="B331" s="10" t="str">
        <f>IFERROR(
    INDEX([1]FSHIP!B:B,MATCH(A331,[1]FSHIP!A:A,0)),
    IFERROR(
        INDEX([1]釣具商品ship!B:B,MATCH(A331,[1]釣具商品ship!A:A,0)),
        IFERROR(
            INDEX([1]玩具商品ship!B:B,MATCH(A331,[1]玩具商品ship!A:A,0)),
            IFERROR(
                INDEX([1]OEMship!B:B,MATCH(A331,[1]OEMship!A:A,0)),
                IFERROR(
                    INDEX([1]NV6ship!B:B,MATCH(A331,[1]NV6ship!A:A,0)),
                    IFERROR(
                        INDEX([1]NVship!B:B,MATCH(A331,[1]NVship!A:A,0)),
                        IFERROR(
                            INDEX([1]海ship!B:B,MATCH(A331,[1]海ship!A:A,0)),
                            IFERROR(
                                INDEX([1]ｾﾚship!B:B,MATCH(A331,[1]ｾﾚship!A:A,0)),
                                IFERROR(
                                    INDEX([1]ｾﾚﾓﾆｰ商品ship!B:B,MATCH(A331,[1]ｾﾚﾓﾆｰ商品ship!A:A,0)),
                                    INDEX([2]NV!D:D,MATCH(A331,[2]NV!C:C,0))
                                )
                            )
                        )
                    )
                )
            )
        )
    )
)</f>
        <v>ビットⅡ　ホワイト</v>
      </c>
      <c r="C331" s="4" t="s">
        <v>6</v>
      </c>
      <c r="D331" s="10" t="str">
        <f t="shared" si="15"/>
        <v>ビットⅡ　ホワイト ｜ 1F釣具部屋【04】 ｜ J</v>
      </c>
      <c r="E331" s="11" t="str">
        <f t="shared" si="16"/>
        <v>1F釣具部屋</v>
      </c>
      <c r="F331" s="12" t="s">
        <v>21</v>
      </c>
      <c r="G331" s="11" t="str">
        <f t="shared" si="17"/>
        <v>04・1F釣具部屋J</v>
      </c>
      <c r="H331" s="3"/>
    </row>
    <row r="332" spans="1:8" ht="15" customHeight="1" x14ac:dyDescent="0.2">
      <c r="A332" s="10" t="s">
        <v>247</v>
      </c>
      <c r="B332" s="10" t="str">
        <f>IFERROR(
    INDEX([1]FSHIP!B:B,MATCH(A332,[1]FSHIP!A:A,0)),
    IFERROR(
        INDEX([1]釣具商品ship!B:B,MATCH(A332,[1]釣具商品ship!A:A,0)),
        IFERROR(
            INDEX([1]玩具商品ship!B:B,MATCH(A332,[1]玩具商品ship!A:A,0)),
            IFERROR(
                INDEX([1]OEMship!B:B,MATCH(A332,[1]OEMship!A:A,0)),
                IFERROR(
                    INDEX([1]NV6ship!B:B,MATCH(A332,[1]NV6ship!A:A,0)),
                    IFERROR(
                        INDEX([1]NVship!B:B,MATCH(A332,[1]NVship!A:A,0)),
                        IFERROR(
                            INDEX([1]海ship!B:B,MATCH(A332,[1]海ship!A:A,0)),
                            IFERROR(
                                INDEX([1]ｾﾚship!B:B,MATCH(A332,[1]ｾﾚship!A:A,0)),
                                IFERROR(
                                    INDEX([1]ｾﾚﾓﾆｰ商品ship!B:B,MATCH(A332,[1]ｾﾚﾓﾆｰ商品ship!A:A,0)),
                                    INDEX([2]NV!D:D,MATCH(A332,[2]NV!C:C,0))
                                )
                            )
                        )
                    )
                )
            )
        )
    )
)</f>
        <v>ビットⅡ　カラーチェンジ</v>
      </c>
      <c r="C332" s="4" t="s">
        <v>6</v>
      </c>
      <c r="D332" s="10" t="str">
        <f t="shared" si="15"/>
        <v>ビットⅡ　カラーチェンジ ｜ 1F釣具部屋【04】 ｜ J</v>
      </c>
      <c r="E332" s="11" t="str">
        <f t="shared" si="16"/>
        <v>1F釣具部屋</v>
      </c>
      <c r="F332" s="12" t="s">
        <v>21</v>
      </c>
      <c r="G332" s="11" t="str">
        <f t="shared" si="17"/>
        <v>04・1F釣具部屋J</v>
      </c>
      <c r="H332" s="3"/>
    </row>
    <row r="333" spans="1:8" ht="15" customHeight="1" x14ac:dyDescent="0.2">
      <c r="A333" s="10" t="s">
        <v>248</v>
      </c>
      <c r="B333" s="10" t="str">
        <f>IFERROR(
    INDEX([1]FSHIP!B:B,MATCH(A333,[1]FSHIP!A:A,0)),
    IFERROR(
        INDEX([1]釣具商品ship!B:B,MATCH(A333,[1]釣具商品ship!A:A,0)),
        IFERROR(
            INDEX([1]玩具商品ship!B:B,MATCH(A333,[1]玩具商品ship!A:A,0)),
            IFERROR(
                INDEX([1]OEMship!B:B,MATCH(A333,[1]OEMship!A:A,0)),
                IFERROR(
                    INDEX([1]NV6ship!B:B,MATCH(A333,[1]NV6ship!A:A,0)),
                    IFERROR(
                        INDEX([1]NVship!B:B,MATCH(A333,[1]NVship!A:A,0)),
                        IFERROR(
                            INDEX([1]海ship!B:B,MATCH(A333,[1]海ship!A:A,0)),
                            IFERROR(
                                INDEX([1]ｾﾚship!B:B,MATCH(A333,[1]ｾﾚship!A:A,0)),
                                IFERROR(
                                    INDEX([1]ｾﾚﾓﾆｰ商品ship!B:B,MATCH(A333,[1]ｾﾚﾓﾆｰ商品ship!A:A,0)),
                                    INDEX([2]NV!D:D,MATCH(A333,[2]NV!C:C,0))
                                )
                            )
                        )
                    )
                )
            )
        )
    )
)</f>
        <v>ビットⅡ　UV</v>
      </c>
      <c r="C333" s="4" t="s">
        <v>6</v>
      </c>
      <c r="D333" s="10" t="str">
        <f t="shared" si="15"/>
        <v>ビットⅡ　UV ｜ 1F釣具部屋【04】 ｜ J</v>
      </c>
      <c r="E333" s="11" t="str">
        <f t="shared" si="16"/>
        <v>1F釣具部屋</v>
      </c>
      <c r="F333" s="12" t="s">
        <v>21</v>
      </c>
      <c r="G333" s="11" t="str">
        <f t="shared" si="17"/>
        <v>04・1F釣具部屋J</v>
      </c>
      <c r="H333" s="3"/>
    </row>
    <row r="334" spans="1:8" ht="15" customHeight="1" x14ac:dyDescent="0.2">
      <c r="A334" s="10" t="s">
        <v>63</v>
      </c>
      <c r="B334" s="10" t="str">
        <f>IFERROR(
    INDEX([1]FSHIP!B:B,MATCH(A334,[1]FSHIP!A:A,0)),
    IFERROR(
        INDEX([1]釣具商品ship!B:B,MATCH(A334,[1]釣具商品ship!A:A,0)),
        IFERROR(
            INDEX([1]玩具商品ship!B:B,MATCH(A334,[1]玩具商品ship!A:A,0)),
            IFERROR(
                INDEX([1]OEMship!B:B,MATCH(A334,[1]OEMship!A:A,0)),
                IFERROR(
                    INDEX([1]NV6ship!B:B,MATCH(A334,[1]NV6ship!A:A,0)),
                    IFERROR(
                        INDEX([1]NVship!B:B,MATCH(A334,[1]NVship!A:A,0)),
                        IFERROR(
                            INDEX([1]海ship!B:B,MATCH(A334,[1]海ship!A:A,0)),
                            IFERROR(
                                INDEX([1]ｾﾚship!B:B,MATCH(A334,[1]ｾﾚship!A:A,0)),
                                IFERROR(
                                    INDEX([1]ｾﾚﾓﾆｰ商品ship!B:B,MATCH(A334,[1]ｾﾚﾓﾆｰ商品ship!A:A,0)),
                                    INDEX([2]NV!D:D,MATCH(A334,[2]NV!C:C,0))
                                )
                            )
                        )
                    )
                )
            )
        )
    )
)</f>
        <v>水中ﾗｲﾄS型ｽｲｯﾁ ｸﾞﾘｰﾝ</v>
      </c>
      <c r="C334" s="4" t="s">
        <v>7</v>
      </c>
      <c r="D334" s="10" t="str">
        <f t="shared" si="15"/>
        <v>水中ﾗｲﾄS型ｽｲｯﾁ ｸﾞﾘｰﾝ ｜ 1F釣具部屋【04】 ｜ C</v>
      </c>
      <c r="E334" s="11" t="str">
        <f t="shared" si="16"/>
        <v>1F釣具部屋</v>
      </c>
      <c r="F334" s="12" t="s">
        <v>21</v>
      </c>
      <c r="G334" s="11" t="str">
        <f t="shared" si="17"/>
        <v>04・1F釣具部屋C</v>
      </c>
      <c r="H334" s="3"/>
    </row>
    <row r="335" spans="1:8" ht="15" customHeight="1" x14ac:dyDescent="0.2">
      <c r="A335" s="10" t="s">
        <v>64</v>
      </c>
      <c r="B335" s="10" t="str">
        <f>IFERROR(
    INDEX([1]FSHIP!B:B,MATCH(A335,[1]FSHIP!A:A,0)),
    IFERROR(
        INDEX([1]釣具商品ship!B:B,MATCH(A335,[1]釣具商品ship!A:A,0)),
        IFERROR(
            INDEX([1]玩具商品ship!B:B,MATCH(A335,[1]玩具商品ship!A:A,0)),
            IFERROR(
                INDEX([1]OEMship!B:B,MATCH(A335,[1]OEMship!A:A,0)),
                IFERROR(
                    INDEX([1]NV6ship!B:B,MATCH(A335,[1]NV6ship!A:A,0)),
                    IFERROR(
                        INDEX([1]NVship!B:B,MATCH(A335,[1]NVship!A:A,0)),
                        IFERROR(
                            INDEX([1]海ship!B:B,MATCH(A335,[1]海ship!A:A,0)),
                            IFERROR(
                                INDEX([1]ｾﾚship!B:B,MATCH(A335,[1]ｾﾚship!A:A,0)),
                                IFERROR(
                                    INDEX([1]ｾﾚﾓﾆｰ商品ship!B:B,MATCH(A335,[1]ｾﾚﾓﾆｰ商品ship!A:A,0)),
                                    INDEX([2]NV!D:D,MATCH(A335,[2]NV!C:C,0))
                                )
                            )
                        )
                    )
                )
            )
        )
    )
)</f>
        <v>水中ﾗｲﾄS型ｽｲｯﾁ ﾌﾞﾙｰ</v>
      </c>
      <c r="C335" s="4" t="s">
        <v>7</v>
      </c>
      <c r="D335" s="10" t="str">
        <f t="shared" si="15"/>
        <v>水中ﾗｲﾄS型ｽｲｯﾁ ﾌﾞﾙｰ ｜ 1F釣具部屋【04】 ｜ C</v>
      </c>
      <c r="E335" s="11" t="str">
        <f t="shared" si="16"/>
        <v>1F釣具部屋</v>
      </c>
      <c r="F335" s="12" t="s">
        <v>21</v>
      </c>
      <c r="G335" s="11" t="str">
        <f t="shared" si="17"/>
        <v>04・1F釣具部屋C</v>
      </c>
      <c r="H335" s="3"/>
    </row>
    <row r="336" spans="1:8" ht="15" customHeight="1" x14ac:dyDescent="0.2">
      <c r="A336" s="10" t="s">
        <v>65</v>
      </c>
      <c r="B336" s="10" t="str">
        <f>IFERROR(
    INDEX([1]FSHIP!B:B,MATCH(A336,[1]FSHIP!A:A,0)),
    IFERROR(
        INDEX([1]釣具商品ship!B:B,MATCH(A336,[1]釣具商品ship!A:A,0)),
        IFERROR(
            INDEX([1]玩具商品ship!B:B,MATCH(A336,[1]玩具商品ship!A:A,0)),
            IFERROR(
                INDEX([1]OEMship!B:B,MATCH(A336,[1]OEMship!A:A,0)),
                IFERROR(
                    INDEX([1]NV6ship!B:B,MATCH(A336,[1]NV6ship!A:A,0)),
                    IFERROR(
                        INDEX([1]NVship!B:B,MATCH(A336,[1]NVship!A:A,0)),
                        IFERROR(
                            INDEX([1]海ship!B:B,MATCH(A336,[1]海ship!A:A,0)),
                            IFERROR(
                                INDEX([1]ｾﾚship!B:B,MATCH(A336,[1]ｾﾚship!A:A,0)),
                                IFERROR(
                                    INDEX([1]ｾﾚﾓﾆｰ商品ship!B:B,MATCH(A336,[1]ｾﾚﾓﾆｰ商品ship!A:A,0)),
                                    INDEX([2]NV!D:D,MATCH(A336,[2]NV!C:C,0))
                                )
                            )
                        )
                    )
                )
            )
        )
    )
)</f>
        <v>水中ﾗｲﾄS型ｽｲｯﾁ ﾚｯﾄﾞ</v>
      </c>
      <c r="C336" s="4" t="s">
        <v>7</v>
      </c>
      <c r="D336" s="10" t="str">
        <f t="shared" si="15"/>
        <v>水中ﾗｲﾄS型ｽｲｯﾁ ﾚｯﾄﾞ ｜ 1F釣具部屋【04】 ｜ C</v>
      </c>
      <c r="E336" s="11" t="str">
        <f t="shared" si="16"/>
        <v>1F釣具部屋</v>
      </c>
      <c r="F336" s="12" t="s">
        <v>21</v>
      </c>
      <c r="G336" s="11" t="str">
        <f t="shared" si="17"/>
        <v>04・1F釣具部屋C</v>
      </c>
      <c r="H336" s="3"/>
    </row>
    <row r="337" spans="1:8" ht="15" customHeight="1" x14ac:dyDescent="0.2">
      <c r="A337" s="10" t="s">
        <v>66</v>
      </c>
      <c r="B337" s="10" t="str">
        <f>IFERROR(
    INDEX([1]FSHIP!B:B,MATCH(A337,[1]FSHIP!A:A,0)),
    IFERROR(
        INDEX([1]釣具商品ship!B:B,MATCH(A337,[1]釣具商品ship!A:A,0)),
        IFERROR(
            INDEX([1]玩具商品ship!B:B,MATCH(A337,[1]玩具商品ship!A:A,0)),
            IFERROR(
                INDEX([1]OEMship!B:B,MATCH(A337,[1]OEMship!A:A,0)),
                IFERROR(
                    INDEX([1]NV6ship!B:B,MATCH(A337,[1]NV6ship!A:A,0)),
                    IFERROR(
                        INDEX([1]NVship!B:B,MATCH(A337,[1]NVship!A:A,0)),
                        IFERROR(
                            INDEX([1]海ship!B:B,MATCH(A337,[1]海ship!A:A,0)),
                            IFERROR(
                                INDEX([1]ｾﾚship!B:B,MATCH(A337,[1]ｾﾚship!A:A,0)),
                                IFERROR(
                                    INDEX([1]ｾﾚﾓﾆｰ商品ship!B:B,MATCH(A337,[1]ｾﾚﾓﾆｰ商品ship!A:A,0)),
                                    INDEX([2]NV!D:D,MATCH(A337,[2]NV!C:C,0))
                                )
                            )
                        )
                    )
                )
            )
        )
    )
)</f>
        <v>水中ﾗｲﾄS型ｽｲｯﾁ ﾎﾜｲﾄ</v>
      </c>
      <c r="C337" s="4" t="s">
        <v>7</v>
      </c>
      <c r="D337" s="10" t="str">
        <f t="shared" si="15"/>
        <v>水中ﾗｲﾄS型ｽｲｯﾁ ﾎﾜｲﾄ ｜ 1F釣具部屋【04】 ｜ C</v>
      </c>
      <c r="E337" s="11" t="str">
        <f t="shared" si="16"/>
        <v>1F釣具部屋</v>
      </c>
      <c r="F337" s="12" t="s">
        <v>21</v>
      </c>
      <c r="G337" s="11" t="str">
        <f t="shared" si="17"/>
        <v>04・1F釣具部屋C</v>
      </c>
      <c r="H337" s="3"/>
    </row>
    <row r="338" spans="1:8" ht="15" customHeight="1" x14ac:dyDescent="0.2">
      <c r="A338" s="10" t="s">
        <v>67</v>
      </c>
      <c r="B338" s="10" t="str">
        <f>IFERROR(
    INDEX([1]FSHIP!B:B,MATCH(A338,[1]FSHIP!A:A,0)),
    IFERROR(
        INDEX([1]釣具商品ship!B:B,MATCH(A338,[1]釣具商品ship!A:A,0)),
        IFERROR(
            INDEX([1]玩具商品ship!B:B,MATCH(A338,[1]玩具商品ship!A:A,0)),
            IFERROR(
                INDEX([1]OEMship!B:B,MATCH(A338,[1]OEMship!A:A,0)),
                IFERROR(
                    INDEX([1]NV6ship!B:B,MATCH(A338,[1]NV6ship!A:A,0)),
                    IFERROR(
                        INDEX([1]NVship!B:B,MATCH(A338,[1]NVship!A:A,0)),
                        IFERROR(
                            INDEX([1]海ship!B:B,MATCH(A338,[1]海ship!A:A,0)),
                            IFERROR(
                                INDEX([1]ｾﾚship!B:B,MATCH(A338,[1]ｾﾚship!A:A,0)),
                                IFERROR(
                                    INDEX([1]ｾﾚﾓﾆｰ商品ship!B:B,MATCH(A338,[1]ｾﾚﾓﾆｰ商品ship!A:A,0)),
                                    INDEX([2]NV!D:D,MATCH(A338,[2]NV!C:C,0))
                                )
                            )
                        )
                    )
                )
            )
        )
    )
)</f>
        <v>水中ﾗｲﾄS型ｽｲｯﾁ ﾌﾟﾗﾝｸﾄﾝﾌﾞﾙｰ</v>
      </c>
      <c r="C338" s="4" t="s">
        <v>7</v>
      </c>
      <c r="D338" s="10" t="str">
        <f t="shared" si="15"/>
        <v>水中ﾗｲﾄS型ｽｲｯﾁ ﾌﾟﾗﾝｸﾄﾝﾌﾞﾙｰ ｜ 1F釣具部屋【04】 ｜ C</v>
      </c>
      <c r="E338" s="11" t="str">
        <f t="shared" si="16"/>
        <v>1F釣具部屋</v>
      </c>
      <c r="F338" s="12" t="s">
        <v>21</v>
      </c>
      <c r="G338" s="11" t="str">
        <f t="shared" si="17"/>
        <v>04・1F釣具部屋C</v>
      </c>
      <c r="H338" s="3"/>
    </row>
    <row r="339" spans="1:8" ht="15" customHeight="1" x14ac:dyDescent="0.2">
      <c r="A339" s="10" t="s">
        <v>68</v>
      </c>
      <c r="B339" s="10" t="str">
        <f>IFERROR(
    INDEX([1]FSHIP!B:B,MATCH(A339,[1]FSHIP!A:A,0)),
    IFERROR(
        INDEX([1]釣具商品ship!B:B,MATCH(A339,[1]釣具商品ship!A:A,0)),
        IFERROR(
            INDEX([1]玩具商品ship!B:B,MATCH(A339,[1]玩具商品ship!A:A,0)),
            IFERROR(
                INDEX([1]OEMship!B:B,MATCH(A339,[1]OEMship!A:A,0)),
                IFERROR(
                    INDEX([1]NV6ship!B:B,MATCH(A339,[1]NV6ship!A:A,0)),
                    IFERROR(
                        INDEX([1]NVship!B:B,MATCH(A339,[1]NVship!A:A,0)),
                        IFERROR(
                            INDEX([1]海ship!B:B,MATCH(A339,[1]海ship!A:A,0)),
                            IFERROR(
                                INDEX([1]ｾﾚship!B:B,MATCH(A339,[1]ｾﾚship!A:A,0)),
                                IFERROR(
                                    INDEX([1]ｾﾚﾓﾆｰ商品ship!B:B,MATCH(A339,[1]ｾﾚﾓﾆｰ商品ship!A:A,0)),
                                    INDEX([2]NV!D:D,MATCH(A339,[2]NV!C:C,0))
                                )
                            )
                        )
                    )
                )
            )
        )
    )
)</f>
        <v>水中ﾗｲﾄS型ｽｲｯﾁ ｶﾗｰﾁｪﾝｼﾞ</v>
      </c>
      <c r="C339" s="4" t="s">
        <v>7</v>
      </c>
      <c r="D339" s="10" t="str">
        <f t="shared" si="15"/>
        <v>水中ﾗｲﾄS型ｽｲｯﾁ ｶﾗｰﾁｪﾝｼﾞ ｜ 1F釣具部屋【04】 ｜ C</v>
      </c>
      <c r="E339" s="11" t="str">
        <f t="shared" si="16"/>
        <v>1F釣具部屋</v>
      </c>
      <c r="F339" s="12" t="s">
        <v>21</v>
      </c>
      <c r="G339" s="11" t="str">
        <f t="shared" si="17"/>
        <v>04・1F釣具部屋C</v>
      </c>
      <c r="H339" s="3"/>
    </row>
    <row r="340" spans="1:8" ht="15" customHeight="1" x14ac:dyDescent="0.2">
      <c r="A340" s="10" t="s">
        <v>110</v>
      </c>
      <c r="B340" s="10" t="str">
        <f>IFERROR(
    INDEX([1]FSHIP!B:B,MATCH(A340,[1]FSHIP!A:A,0)),
    IFERROR(
        INDEX([1]釣具商品ship!B:B,MATCH(A340,[1]釣具商品ship!A:A,0)),
        IFERROR(
            INDEX([1]玩具商品ship!B:B,MATCH(A340,[1]玩具商品ship!A:A,0)),
            IFERROR(
                INDEX([1]OEMship!B:B,MATCH(A340,[1]OEMship!A:A,0)),
                IFERROR(
                    INDEX([1]NV6ship!B:B,MATCH(A340,[1]NV6ship!A:A,0)),
                    IFERROR(
                        INDEX([1]NVship!B:B,MATCH(A340,[1]NVship!A:A,0)),
                        IFERROR(
                            INDEX([1]海ship!B:B,MATCH(A340,[1]海ship!A:A,0)),
                            IFERROR(
                                INDEX([1]ｾﾚship!B:B,MATCH(A340,[1]ｾﾚship!A:A,0)),
                                IFERROR(
                                    INDEX([1]ｾﾚﾓﾆｰ商品ship!B:B,MATCH(A340,[1]ｾﾚﾓﾆｰ商品ship!A:A,0)),
                                    INDEX([2]NV!D:D,MATCH(A340,[2]NV!C:C,0))
                                )
                            )
                        )
                    )
                )
            )
        )
    )
)</f>
        <v>ｱﾙｶﾘﾎﾞﾀﾝ電池 LR-41（2個ｾｯﾄ）</v>
      </c>
      <c r="C340" s="4" t="s">
        <v>5</v>
      </c>
      <c r="D340" s="10" t="str">
        <f t="shared" si="15"/>
        <v>ｱﾙｶﾘﾎﾞﾀﾝ電池 LR-41（2個ｾｯﾄ） ｜ 1F釣具部屋【04】 ｜ D</v>
      </c>
      <c r="E340" s="11" t="str">
        <f t="shared" si="16"/>
        <v>1F釣具部屋</v>
      </c>
      <c r="F340" s="12" t="s">
        <v>21</v>
      </c>
      <c r="G340" s="11" t="str">
        <f t="shared" si="17"/>
        <v>04・1F釣具部屋D</v>
      </c>
      <c r="H340" s="3"/>
    </row>
    <row r="341" spans="1:8" ht="15" customHeight="1" x14ac:dyDescent="0.2">
      <c r="A341" s="14" t="s">
        <v>722</v>
      </c>
      <c r="B341" s="10" t="str">
        <f>IFERROR(
    INDEX([1]FSHIP!B:B,MATCH(A341,[1]FSHIP!A:A,0)),
    IFERROR(
        INDEX([1]釣具商品ship!B:B,MATCH(A341,[1]釣具商品ship!A:A,0)),
        IFERROR(
            INDEX([1]玩具商品ship!B:B,MATCH(A341,[1]玩具商品ship!A:A,0)),
            IFERROR(
                INDEX([1]OEMship!B:B,MATCH(A341,[1]OEMship!A:A,0)),
                IFERROR(
                    INDEX([1]NV6ship!B:B,MATCH(A341,[1]NV6ship!A:A,0)),
                    IFERROR(
                        INDEX([1]NVship!B:B,MATCH(A341,[1]NVship!A:A,0)),
                        IFERROR(
                            INDEX([1]海ship!B:B,MATCH(A341,[1]海ship!A:A,0)),
                            IFERROR(
                                INDEX([1]ｾﾚship!B:B,MATCH(A341,[1]ｾﾚship!A:A,0)),
                                IFERROR(
                                    INDEX([1]ｾﾚﾓﾆｰ商品ship!B:B,MATCH(A341,[1]ｾﾚﾓﾆｰ商品ship!A:A,0)),
                                    INDEX([2]NV!D:D,MATCH(A341,[2]NV!C:C,0))
                                )
                            )
                        )
                    )
                )
            )
        )
    )
)</f>
        <v>水中ﾗｲﾄS型流星 ｸﾞﾘｰﾝ</v>
      </c>
      <c r="C341" s="19" t="s">
        <v>7</v>
      </c>
      <c r="D341" s="4" t="str">
        <f t="shared" si="15"/>
        <v>水中ﾗｲﾄS型流星 ｸﾞﾘｰﾝ ｜ 1F釣具部屋【04】 ｜ C</v>
      </c>
      <c r="E341" s="11" t="str">
        <f t="shared" si="16"/>
        <v>1F釣具部屋</v>
      </c>
      <c r="F341" s="12" t="s">
        <v>728</v>
      </c>
      <c r="G341" s="11" t="str">
        <f t="shared" si="17"/>
        <v>04・1F釣具部屋C</v>
      </c>
      <c r="H341" s="3"/>
    </row>
    <row r="342" spans="1:8" ht="15" customHeight="1" x14ac:dyDescent="0.2">
      <c r="A342" s="14" t="s">
        <v>723</v>
      </c>
      <c r="B342" s="10" t="str">
        <f>IFERROR(
    INDEX([1]FSHIP!B:B,MATCH(A342,[1]FSHIP!A:A,0)),
    IFERROR(
        INDEX([1]釣具商品ship!B:B,MATCH(A342,[1]釣具商品ship!A:A,0)),
        IFERROR(
            INDEX([1]玩具商品ship!B:B,MATCH(A342,[1]玩具商品ship!A:A,0)),
            IFERROR(
                INDEX([1]OEMship!B:B,MATCH(A342,[1]OEMship!A:A,0)),
                IFERROR(
                    INDEX([1]NV6ship!B:B,MATCH(A342,[1]NV6ship!A:A,0)),
                    IFERROR(
                        INDEX([1]NVship!B:B,MATCH(A342,[1]NVship!A:A,0)),
                        IFERROR(
                            INDEX([1]海ship!B:B,MATCH(A342,[1]海ship!A:A,0)),
                            IFERROR(
                                INDEX([1]ｾﾚship!B:B,MATCH(A342,[1]ｾﾚship!A:A,0)),
                                IFERROR(
                                    INDEX([1]ｾﾚﾓﾆｰ商品ship!B:B,MATCH(A342,[1]ｾﾚﾓﾆｰ商品ship!A:A,0)),
                                    INDEX([2]NV!D:D,MATCH(A342,[2]NV!C:C,0))
                                )
                            )
                        )
                    )
                )
            )
        )
    )
)</f>
        <v>水中ﾗｲﾄS型流星 ﾌﾞﾙｰ</v>
      </c>
      <c r="C342" s="16" t="s">
        <v>7</v>
      </c>
      <c r="D342" s="4" t="str">
        <f t="shared" si="15"/>
        <v>水中ﾗｲﾄS型流星 ﾌﾞﾙｰ ｜ 1F釣具部屋【04】 ｜ C</v>
      </c>
      <c r="E342" s="11" t="str">
        <f t="shared" si="16"/>
        <v>1F釣具部屋</v>
      </c>
      <c r="F342" s="12" t="s">
        <v>728</v>
      </c>
      <c r="G342" s="11" t="str">
        <f t="shared" si="17"/>
        <v>04・1F釣具部屋C</v>
      </c>
      <c r="H342" s="3"/>
    </row>
    <row r="343" spans="1:8" ht="15" customHeight="1" x14ac:dyDescent="0.2">
      <c r="A343" s="14" t="s">
        <v>724</v>
      </c>
      <c r="B343" s="10" t="str">
        <f>IFERROR(
    INDEX([1]FSHIP!B:B,MATCH(A343,[1]FSHIP!A:A,0)),
    IFERROR(
        INDEX([1]釣具商品ship!B:B,MATCH(A343,[1]釣具商品ship!A:A,0)),
        IFERROR(
            INDEX([1]玩具商品ship!B:B,MATCH(A343,[1]玩具商品ship!A:A,0)),
            IFERROR(
                INDEX([1]OEMship!B:B,MATCH(A343,[1]OEMship!A:A,0)),
                IFERROR(
                    INDEX([1]NV6ship!B:B,MATCH(A343,[1]NV6ship!A:A,0)),
                    IFERROR(
                        INDEX([1]NVship!B:B,MATCH(A343,[1]NVship!A:A,0)),
                        IFERROR(
                            INDEX([1]海ship!B:B,MATCH(A343,[1]海ship!A:A,0)),
                            IFERROR(
                                INDEX([1]ｾﾚship!B:B,MATCH(A343,[1]ｾﾚship!A:A,0)),
                                IFERROR(
                                    INDEX([1]ｾﾚﾓﾆｰ商品ship!B:B,MATCH(A343,[1]ｾﾚﾓﾆｰ商品ship!A:A,0)),
                                    INDEX([2]NV!D:D,MATCH(A343,[2]NV!C:C,0))
                                )
                            )
                        )
                    )
                )
            )
        )
    )
)</f>
        <v>水中ﾗｲﾄS型流星 ﾚｯﾄﾞ</v>
      </c>
      <c r="C343" s="16" t="s">
        <v>7</v>
      </c>
      <c r="D343" s="4" t="str">
        <f t="shared" si="15"/>
        <v>水中ﾗｲﾄS型流星 ﾚｯﾄﾞ ｜ 1F釣具部屋【04】 ｜ C</v>
      </c>
      <c r="E343" s="11" t="str">
        <f t="shared" si="16"/>
        <v>1F釣具部屋</v>
      </c>
      <c r="F343" s="12" t="s">
        <v>728</v>
      </c>
      <c r="G343" s="11" t="str">
        <f t="shared" si="17"/>
        <v>04・1F釣具部屋C</v>
      </c>
      <c r="H343" s="3"/>
    </row>
    <row r="344" spans="1:8" ht="15" customHeight="1" x14ac:dyDescent="0.2">
      <c r="A344" s="14" t="s">
        <v>725</v>
      </c>
      <c r="B344" s="10" t="str">
        <f>IFERROR(
    INDEX([1]FSHIP!B:B,MATCH(A344,[1]FSHIP!A:A,0)),
    IFERROR(
        INDEX([1]釣具商品ship!B:B,MATCH(A344,[1]釣具商品ship!A:A,0)),
        IFERROR(
            INDEX([1]玩具商品ship!B:B,MATCH(A344,[1]玩具商品ship!A:A,0)),
            IFERROR(
                INDEX([1]OEMship!B:B,MATCH(A344,[1]OEMship!A:A,0)),
                IFERROR(
                    INDEX([1]NV6ship!B:B,MATCH(A344,[1]NV6ship!A:A,0)),
                    IFERROR(
                        INDEX([1]NVship!B:B,MATCH(A344,[1]NVship!A:A,0)),
                        IFERROR(
                            INDEX([1]海ship!B:B,MATCH(A344,[1]海ship!A:A,0)),
                            IFERROR(
                                INDEX([1]ｾﾚship!B:B,MATCH(A344,[1]ｾﾚship!A:A,0)),
                                IFERROR(
                                    INDEX([1]ｾﾚﾓﾆｰ商品ship!B:B,MATCH(A344,[1]ｾﾚﾓﾆｰ商品ship!A:A,0)),
                                    INDEX([2]NV!D:D,MATCH(A344,[2]NV!C:C,0))
                                )
                            )
                        )
                    )
                )
            )
        )
    )
)</f>
        <v>水中ﾗｲﾄS型流星 ﾎﾜｲﾄ</v>
      </c>
      <c r="C344" s="16" t="s">
        <v>7</v>
      </c>
      <c r="D344" s="4" t="str">
        <f t="shared" si="15"/>
        <v>水中ﾗｲﾄS型流星 ﾎﾜｲﾄ ｜ 1F釣具部屋【04】 ｜ C</v>
      </c>
      <c r="E344" s="11" t="str">
        <f t="shared" si="16"/>
        <v>1F釣具部屋</v>
      </c>
      <c r="F344" s="12" t="s">
        <v>728</v>
      </c>
      <c r="G344" s="11" t="str">
        <f t="shared" si="17"/>
        <v>04・1F釣具部屋C</v>
      </c>
      <c r="H344" s="3"/>
    </row>
    <row r="345" spans="1:8" ht="15" customHeight="1" x14ac:dyDescent="0.2">
      <c r="A345" s="14" t="s">
        <v>726</v>
      </c>
      <c r="B345" s="10" t="str">
        <f>IFERROR(
    INDEX([1]FSHIP!B:B,MATCH(A345,[1]FSHIP!A:A,0)),
    IFERROR(
        INDEX([1]釣具商品ship!B:B,MATCH(A345,[1]釣具商品ship!A:A,0)),
        IFERROR(
            INDEX([1]玩具商品ship!B:B,MATCH(A345,[1]玩具商品ship!A:A,0)),
            IFERROR(
                INDEX([1]OEMship!B:B,MATCH(A345,[1]OEMship!A:A,0)),
                IFERROR(
                    INDEX([1]NV6ship!B:B,MATCH(A345,[1]NV6ship!A:A,0)),
                    IFERROR(
                        INDEX([1]NVship!B:B,MATCH(A345,[1]NVship!A:A,0)),
                        IFERROR(
                            INDEX([1]海ship!B:B,MATCH(A345,[1]海ship!A:A,0)),
                            IFERROR(
                                INDEX([1]ｾﾚship!B:B,MATCH(A345,[1]ｾﾚship!A:A,0)),
                                IFERROR(
                                    INDEX([1]ｾﾚﾓﾆｰ商品ship!B:B,MATCH(A345,[1]ｾﾚﾓﾆｰ商品ship!A:A,0)),
                                    INDEX([2]NV!D:D,MATCH(A345,[2]NV!C:C,0))
                                )
                            )
                        )
                    )
                )
            )
        )
    )
)</f>
        <v>水中ﾗｲﾄS型流星 ｶﾗｰﾁｪﾝｼﾞ</v>
      </c>
      <c r="C345" s="16" t="s">
        <v>7</v>
      </c>
      <c r="D345" s="4" t="str">
        <f t="shared" si="15"/>
        <v>水中ﾗｲﾄS型流星 ｶﾗｰﾁｪﾝｼﾞ ｜ 1F釣具部屋【04】 ｜ C</v>
      </c>
      <c r="E345" s="11" t="str">
        <f t="shared" si="16"/>
        <v>1F釣具部屋</v>
      </c>
      <c r="F345" s="12" t="s">
        <v>728</v>
      </c>
      <c r="G345" s="11" t="str">
        <f t="shared" si="17"/>
        <v>04・1F釣具部屋C</v>
      </c>
      <c r="H345" s="3"/>
    </row>
    <row r="346" spans="1:8" ht="15" customHeight="1" x14ac:dyDescent="0.2">
      <c r="A346" s="14" t="s">
        <v>727</v>
      </c>
      <c r="B346" s="10" t="str">
        <f>IFERROR(
    INDEX([1]FSHIP!B:B,MATCH(A346,[1]FSHIP!A:A,0)),
    IFERROR(
        INDEX([1]釣具商品ship!B:B,MATCH(A346,[1]釣具商品ship!A:A,0)),
        IFERROR(
            INDEX([1]玩具商品ship!B:B,MATCH(A346,[1]玩具商品ship!A:A,0)),
            IFERROR(
                INDEX([1]OEMship!B:B,MATCH(A346,[1]OEMship!A:A,0)),
                IFERROR(
                    INDEX([1]NV6ship!B:B,MATCH(A346,[1]NV6ship!A:A,0)),
                    IFERROR(
                        INDEX([1]NVship!B:B,MATCH(A346,[1]NVship!A:A,0)),
                        IFERROR(
                            INDEX([1]海ship!B:B,MATCH(A346,[1]海ship!A:A,0)),
                            IFERROR(
                                INDEX([1]ｾﾚship!B:B,MATCH(A346,[1]ｾﾚship!A:A,0)),
                                IFERROR(
                                    INDEX([1]ｾﾚﾓﾆｰ商品ship!B:B,MATCH(A346,[1]ｾﾚﾓﾆｰ商品ship!A:A,0)),
                                    INDEX([2]NV!D:D,MATCH(A346,[2]NV!C:C,0))
                                )
                            )
                        )
                    )
                )
            )
        )
    )
)</f>
        <v>水中ﾗｲﾄS型流星 ﾌﾟﾗﾝｸﾄﾝﾌﾞﾙｰ</v>
      </c>
      <c r="C346" s="16" t="s">
        <v>7</v>
      </c>
      <c r="D346" s="4" t="str">
        <f t="shared" si="15"/>
        <v>水中ﾗｲﾄS型流星 ﾌﾟﾗﾝｸﾄﾝﾌﾞﾙｰ ｜ 1F釣具部屋【04】 ｜ C</v>
      </c>
      <c r="E346" s="11" t="str">
        <f t="shared" si="16"/>
        <v>1F釣具部屋</v>
      </c>
      <c r="F346" s="12" t="s">
        <v>728</v>
      </c>
      <c r="G346" s="11" t="str">
        <f t="shared" si="17"/>
        <v>04・1F釣具部屋C</v>
      </c>
      <c r="H346" s="3"/>
    </row>
    <row r="347" spans="1:8" ht="15" customHeight="1" x14ac:dyDescent="0.2">
      <c r="A347" s="10" t="s">
        <v>207</v>
      </c>
      <c r="B347" s="10" t="str">
        <f>IFERROR(
    INDEX([1]FSHIP!B:B,MATCH(A347,[1]FSHIP!A:A,0)),
    IFERROR(
        INDEX([1]釣具商品ship!B:B,MATCH(A347,[1]釣具商品ship!A:A,0)),
        IFERROR(
            INDEX([1]玩具商品ship!B:B,MATCH(A347,[1]玩具商品ship!A:A,0)),
            IFERROR(
                INDEX([1]OEMship!B:B,MATCH(A347,[1]OEMship!A:A,0)),
                IFERROR(
                    INDEX([1]NV6ship!B:B,MATCH(A347,[1]NV6ship!A:A,0)),
                    IFERROR(
                        INDEX([1]NVship!B:B,MATCH(A347,[1]NVship!A:A,0)),
                        IFERROR(
                            INDEX([1]海ship!B:B,MATCH(A347,[1]海ship!A:A,0)),
                            IFERROR(
                                INDEX([1]ｾﾚship!B:B,MATCH(A347,[1]ｾﾚship!A:A,0)),
                                IFERROR(
                                    INDEX([1]ｾﾚﾓﾆｰ商品ship!B:B,MATCH(A347,[1]ｾﾚﾓﾆｰ商品ship!A:A,0)),
                                    INDEX([2]NV!D:D,MATCH(A347,[2]NV!C:C,0))
                                )
                            )
                        )
                    )
                )
            )
        )
    )
)</f>
        <v>ﾁｬｯﾌﾟ ｵﾝ 2ｶﾗｰ B</v>
      </c>
      <c r="C347" s="4" t="s">
        <v>8</v>
      </c>
      <c r="D347" s="10" t="str">
        <f t="shared" si="15"/>
        <v>ﾁｬｯﾌﾟ ｵﾝ 2ｶﾗｰ B ｜ 1F釣具部屋【04】 ｜ I</v>
      </c>
      <c r="E347" s="11" t="str">
        <f t="shared" si="16"/>
        <v>1F釣具部屋</v>
      </c>
      <c r="F347" s="12" t="s">
        <v>21</v>
      </c>
      <c r="G347" s="11" t="str">
        <f t="shared" si="17"/>
        <v>04・1F釣具部屋I</v>
      </c>
      <c r="H347" s="3"/>
    </row>
    <row r="348" spans="1:8" ht="15" customHeight="1" x14ac:dyDescent="0.2">
      <c r="A348" s="10" t="s">
        <v>208</v>
      </c>
      <c r="B348" s="10" t="str">
        <f>IFERROR(
    INDEX([1]FSHIP!B:B,MATCH(A348,[1]FSHIP!A:A,0)),
    IFERROR(
        INDEX([1]釣具商品ship!B:B,MATCH(A348,[1]釣具商品ship!A:A,0)),
        IFERROR(
            INDEX([1]玩具商品ship!B:B,MATCH(A348,[1]玩具商品ship!A:A,0)),
            IFERROR(
                INDEX([1]OEMship!B:B,MATCH(A348,[1]OEMship!A:A,0)),
                IFERROR(
                    INDEX([1]NV6ship!B:B,MATCH(A348,[1]NV6ship!A:A,0)),
                    IFERROR(
                        INDEX([1]NVship!B:B,MATCH(A348,[1]NVship!A:A,0)),
                        IFERROR(
                            INDEX([1]海ship!B:B,MATCH(A348,[1]海ship!A:A,0)),
                            IFERROR(
                                INDEX([1]ｾﾚship!B:B,MATCH(A348,[1]ｾﾚship!A:A,0)),
                                IFERROR(
                                    INDEX([1]ｾﾚﾓﾆｰ商品ship!B:B,MATCH(A348,[1]ｾﾚﾓﾆｰ商品ship!A:A,0)),
                                    INDEX([2]NV!D:D,MATCH(A348,[2]NV!C:C,0))
                                )
                            )
                        )
                    )
                )
            )
        )
    )
)</f>
        <v>ﾁｬｯﾌﾟ ｵﾝ 2ｶﾗｰ 3B</v>
      </c>
      <c r="C348" s="4" t="s">
        <v>8</v>
      </c>
      <c r="D348" s="10" t="str">
        <f t="shared" si="15"/>
        <v>ﾁｬｯﾌﾟ ｵﾝ 2ｶﾗｰ 3B ｜ 1F釣具部屋【04】 ｜ I</v>
      </c>
      <c r="E348" s="11" t="str">
        <f t="shared" si="16"/>
        <v>1F釣具部屋</v>
      </c>
      <c r="F348" s="12" t="s">
        <v>21</v>
      </c>
      <c r="G348" s="11" t="str">
        <f t="shared" si="17"/>
        <v>04・1F釣具部屋I</v>
      </c>
      <c r="H348" s="3"/>
    </row>
    <row r="349" spans="1:8" ht="15" customHeight="1" x14ac:dyDescent="0.2">
      <c r="A349" s="10" t="s">
        <v>504</v>
      </c>
      <c r="B349" s="10" t="str">
        <f>IFERROR(
    INDEX([1]FSHIP!B:B,MATCH(A349,[1]FSHIP!A:A,0)),
    IFERROR(
        INDEX([1]釣具商品ship!B:B,MATCH(A349,[1]釣具商品ship!A:A,0)),
        IFERROR(
            INDEX([1]玩具商品ship!B:B,MATCH(A349,[1]玩具商品ship!A:A,0)),
            IFERROR(
                INDEX([1]OEMship!B:B,MATCH(A349,[1]OEMship!A:A,0)),
                IFERROR(
                    INDEX([1]NV6ship!B:B,MATCH(A349,[1]NV6ship!A:A,0)),
                    IFERROR(
                        INDEX([1]NVship!B:B,MATCH(A349,[1]NVship!A:A,0)),
                        IFERROR(
                            INDEX([1]海ship!B:B,MATCH(A349,[1]海ship!A:A,0)),
                            IFERROR(
                                INDEX([1]ｾﾚship!B:B,MATCH(A349,[1]ｾﾚship!A:A,0)),
                                IFERROR(
                                    INDEX([1]ｾﾚﾓﾆｰ商品ship!B:B,MATCH(A349,[1]ｾﾚﾓﾆｰ商品ship!A:A,0)),
                                    INDEX([2]NV!D:D,MATCH(A349,[2]NV!C:C,0))
                                )
                            )
                        )
                    )
                )
            )
        )
    )
)</f>
        <v>６インチレギュラー　GREEN</v>
      </c>
      <c r="C349" s="4" t="s">
        <v>513</v>
      </c>
      <c r="D349" s="4" t="str">
        <f t="shared" si="15"/>
        <v>６インチレギュラー　GREEN ｜ 資材倉庫・ノベルティ【10】 ｜ P-1</v>
      </c>
      <c r="E349" s="11" t="str">
        <f t="shared" si="16"/>
        <v>資材倉庫・ノベルティ</v>
      </c>
      <c r="F349" s="12" t="s">
        <v>477</v>
      </c>
      <c r="G349" s="11" t="str">
        <f t="shared" si="17"/>
        <v>10・資材倉庫・ノベルティP-1</v>
      </c>
      <c r="H349" s="3"/>
    </row>
    <row r="350" spans="1:8" ht="15" customHeight="1" x14ac:dyDescent="0.2">
      <c r="A350" s="10" t="s">
        <v>505</v>
      </c>
      <c r="B350" s="10" t="str">
        <f>IFERROR(
    INDEX([1]FSHIP!B:B,MATCH(A350,[1]FSHIP!A:A,0)),
    IFERROR(
        INDEX([1]釣具商品ship!B:B,MATCH(A350,[1]釣具商品ship!A:A,0)),
        IFERROR(
            INDEX([1]玩具商品ship!B:B,MATCH(A350,[1]玩具商品ship!A:A,0)),
            IFERROR(
                INDEX([1]OEMship!B:B,MATCH(A350,[1]OEMship!A:A,0)),
                IFERROR(
                    INDEX([1]NV6ship!B:B,MATCH(A350,[1]NV6ship!A:A,0)),
                    IFERROR(
                        INDEX([1]NVship!B:B,MATCH(A350,[1]NVship!A:A,0)),
                        IFERROR(
                            INDEX([1]海ship!B:B,MATCH(A350,[1]海ship!A:A,0)),
                            IFERROR(
                                INDEX([1]ｾﾚship!B:B,MATCH(A350,[1]ｾﾚship!A:A,0)),
                                IFERROR(
                                    INDEX([1]ｾﾚﾓﾆｰ商品ship!B:B,MATCH(A350,[1]ｾﾚﾓﾆｰ商品ship!A:A,0)),
                                    INDEX([2]NV!D:D,MATCH(A350,[2]NV!C:C,0))
                                )
                            )
                        )
                    )
                )
            )
        )
    )
)</f>
        <v>６インチレギュラー　BLUE</v>
      </c>
      <c r="C350" s="4" t="s">
        <v>513</v>
      </c>
      <c r="D350" s="4" t="str">
        <f t="shared" si="15"/>
        <v>６インチレギュラー　BLUE ｜ 資材倉庫・ノベルティ【10】 ｜ P-1</v>
      </c>
      <c r="E350" s="11" t="str">
        <f t="shared" si="16"/>
        <v>資材倉庫・ノベルティ</v>
      </c>
      <c r="F350" s="12" t="s">
        <v>477</v>
      </c>
      <c r="G350" s="11" t="str">
        <f t="shared" si="17"/>
        <v>10・資材倉庫・ノベルティP-1</v>
      </c>
      <c r="H350" s="3"/>
    </row>
    <row r="351" spans="1:8" ht="15" customHeight="1" x14ac:dyDescent="0.2">
      <c r="A351" s="10" t="s">
        <v>506</v>
      </c>
      <c r="B351" s="10" t="str">
        <f>IFERROR(
    INDEX([1]FSHIP!B:B,MATCH(A351,[1]FSHIP!A:A,0)),
    IFERROR(
        INDEX([1]釣具商品ship!B:B,MATCH(A351,[1]釣具商品ship!A:A,0)),
        IFERROR(
            INDEX([1]玩具商品ship!B:B,MATCH(A351,[1]玩具商品ship!A:A,0)),
            IFERROR(
                INDEX([1]OEMship!B:B,MATCH(A351,[1]OEMship!A:A,0)),
                IFERROR(
                    INDEX([1]NV6ship!B:B,MATCH(A351,[1]NV6ship!A:A,0)),
                    IFERROR(
                        INDEX([1]NVship!B:B,MATCH(A351,[1]NVship!A:A,0)),
                        IFERROR(
                            INDEX([1]海ship!B:B,MATCH(A351,[1]海ship!A:A,0)),
                            IFERROR(
                                INDEX([1]ｾﾚship!B:B,MATCH(A351,[1]ｾﾚship!A:A,0)),
                                IFERROR(
                                    INDEX([1]ｾﾚﾓﾆｰ商品ship!B:B,MATCH(A351,[1]ｾﾚﾓﾆｰ商品ship!A:A,0)),
                                    INDEX([2]NV!D:D,MATCH(A351,[2]NV!C:C,0))
                                )
                            )
                        )
                    )
                )
            )
        )
    )
)</f>
        <v>６インチレギュラー　PINK</v>
      </c>
      <c r="C351" s="4" t="s">
        <v>513</v>
      </c>
      <c r="D351" s="4" t="str">
        <f t="shared" si="15"/>
        <v>６インチレギュラー　PINK ｜ 資材倉庫・ノベルティ【10】 ｜ P-1</v>
      </c>
      <c r="E351" s="11" t="str">
        <f t="shared" si="16"/>
        <v>資材倉庫・ノベルティ</v>
      </c>
      <c r="F351" s="12" t="s">
        <v>477</v>
      </c>
      <c r="G351" s="11" t="str">
        <f t="shared" si="17"/>
        <v>10・資材倉庫・ノベルティP-1</v>
      </c>
      <c r="H351" s="3"/>
    </row>
    <row r="352" spans="1:8" ht="15" customHeight="1" x14ac:dyDescent="0.2">
      <c r="A352" s="10" t="s">
        <v>507</v>
      </c>
      <c r="B352" s="10" t="str">
        <f>IFERROR(
    INDEX([1]FSHIP!B:B,MATCH(A352,[1]FSHIP!A:A,0)),
    IFERROR(
        INDEX([1]釣具商品ship!B:B,MATCH(A352,[1]釣具商品ship!A:A,0)),
        IFERROR(
            INDEX([1]玩具商品ship!B:B,MATCH(A352,[1]玩具商品ship!A:A,0)),
            IFERROR(
                INDEX([1]OEMship!B:B,MATCH(A352,[1]OEMship!A:A,0)),
                IFERROR(
                    INDEX([1]NV6ship!B:B,MATCH(A352,[1]NV6ship!A:A,0)),
                    IFERROR(
                        INDEX([1]NVship!B:B,MATCH(A352,[1]NVship!A:A,0)),
                        IFERROR(
                            INDEX([1]海ship!B:B,MATCH(A352,[1]海ship!A:A,0)),
                            IFERROR(
                                INDEX([1]ｾﾚship!B:B,MATCH(A352,[1]ｾﾚship!A:A,0)),
                                IFERROR(
                                    INDEX([1]ｾﾚﾓﾆｰ商品ship!B:B,MATCH(A352,[1]ｾﾚﾓﾆｰ商品ship!A:A,0)),
                                    INDEX([2]NV!D:D,MATCH(A352,[2]NV!C:C,0))
                                )
                            )
                        )
                    )
                )
            )
        )
    )
)</f>
        <v>６インチレギュラー　ORANGE</v>
      </c>
      <c r="C352" s="4" t="s">
        <v>513</v>
      </c>
      <c r="D352" s="4" t="str">
        <f t="shared" si="15"/>
        <v>６インチレギュラー　ORANGE ｜ 資材倉庫・ノベルティ【10】 ｜ P-1</v>
      </c>
      <c r="E352" s="11" t="str">
        <f t="shared" si="16"/>
        <v>資材倉庫・ノベルティ</v>
      </c>
      <c r="F352" s="12" t="s">
        <v>477</v>
      </c>
      <c r="G352" s="11" t="str">
        <f t="shared" si="17"/>
        <v>10・資材倉庫・ノベルティP-1</v>
      </c>
      <c r="H352" s="3"/>
    </row>
    <row r="353" spans="1:8" ht="15" customHeight="1" x14ac:dyDescent="0.2">
      <c r="A353" s="10" t="s">
        <v>508</v>
      </c>
      <c r="B353" s="10" t="str">
        <f>IFERROR(
    INDEX([1]FSHIP!B:B,MATCH(A353,[1]FSHIP!A:A,0)),
    IFERROR(
        INDEX([1]釣具商品ship!B:B,MATCH(A353,[1]釣具商品ship!A:A,0)),
        IFERROR(
            INDEX([1]玩具商品ship!B:B,MATCH(A353,[1]玩具商品ship!A:A,0)),
            IFERROR(
                INDEX([1]OEMship!B:B,MATCH(A353,[1]OEMship!A:A,0)),
                IFERROR(
                    INDEX([1]NV6ship!B:B,MATCH(A353,[1]NV6ship!A:A,0)),
                    IFERROR(
                        INDEX([1]NVship!B:B,MATCH(A353,[1]NVship!A:A,0)),
                        IFERROR(
                            INDEX([1]海ship!B:B,MATCH(A353,[1]海ship!A:A,0)),
                            IFERROR(
                                INDEX([1]ｾﾚship!B:B,MATCH(A353,[1]ｾﾚship!A:A,0)),
                                IFERROR(
                                    INDEX([1]ｾﾚﾓﾆｰ商品ship!B:B,MATCH(A353,[1]ｾﾚﾓﾆｰ商品ship!A:A,0)),
                                    INDEX([2]NV!D:D,MATCH(A353,[2]NV!C:C,0))
                                )
                            )
                        )
                    )
                )
            )
        )
    )
)</f>
        <v>６インチレギュラー　YELLOW</v>
      </c>
      <c r="C353" s="4" t="s">
        <v>513</v>
      </c>
      <c r="D353" s="4" t="str">
        <f t="shared" si="15"/>
        <v>６インチレギュラー　YELLOW ｜ 資材倉庫・ノベルティ【10】 ｜ P-1</v>
      </c>
      <c r="E353" s="11" t="str">
        <f t="shared" si="16"/>
        <v>資材倉庫・ノベルティ</v>
      </c>
      <c r="F353" s="12" t="s">
        <v>477</v>
      </c>
      <c r="G353" s="11" t="str">
        <f t="shared" si="17"/>
        <v>10・資材倉庫・ノベルティP-1</v>
      </c>
      <c r="H353" s="3"/>
    </row>
    <row r="354" spans="1:8" ht="15" customHeight="1" x14ac:dyDescent="0.2">
      <c r="A354" s="10" t="s">
        <v>509</v>
      </c>
      <c r="B354" s="10" t="str">
        <f>IFERROR(
    INDEX([1]FSHIP!B:B,MATCH(A354,[1]FSHIP!A:A,0)),
    IFERROR(
        INDEX([1]釣具商品ship!B:B,MATCH(A354,[1]釣具商品ship!A:A,0)),
        IFERROR(
            INDEX([1]玩具商品ship!B:B,MATCH(A354,[1]玩具商品ship!A:A,0)),
            IFERROR(
                INDEX([1]OEMship!B:B,MATCH(A354,[1]OEMship!A:A,0)),
                IFERROR(
                    INDEX([1]NV6ship!B:B,MATCH(A354,[1]NV6ship!A:A,0)),
                    IFERROR(
                        INDEX([1]NVship!B:B,MATCH(A354,[1]NVship!A:A,0)),
                        IFERROR(
                            INDEX([1]海ship!B:B,MATCH(A354,[1]海ship!A:A,0)),
                            IFERROR(
                                INDEX([1]ｾﾚship!B:B,MATCH(A354,[1]ｾﾚship!A:A,0)),
                                IFERROR(
                                    INDEX([1]ｾﾚﾓﾆｰ商品ship!B:B,MATCH(A354,[1]ｾﾚﾓﾆｰ商品ship!A:A,0)),
                                    INDEX([2]NV!D:D,MATCH(A354,[2]NV!C:C,0))
                                )
                            )
                        )
                    )
                )
            )
        )
    )
)</f>
        <v>６インチレギュラー　RED</v>
      </c>
      <c r="C354" s="4" t="s">
        <v>513</v>
      </c>
      <c r="D354" s="4" t="str">
        <f t="shared" si="15"/>
        <v>６インチレギュラー　RED ｜ 資材倉庫・ノベルティ【10】 ｜ P-1</v>
      </c>
      <c r="E354" s="11" t="str">
        <f t="shared" si="16"/>
        <v>資材倉庫・ノベルティ</v>
      </c>
      <c r="F354" s="12" t="s">
        <v>477</v>
      </c>
      <c r="G354" s="11" t="str">
        <f t="shared" si="17"/>
        <v>10・資材倉庫・ノベルティP-1</v>
      </c>
      <c r="H354" s="3"/>
    </row>
    <row r="355" spans="1:8" ht="15" customHeight="1" x14ac:dyDescent="0.2">
      <c r="A355" s="10" t="s">
        <v>510</v>
      </c>
      <c r="B355" s="10" t="str">
        <f>IFERROR(
    INDEX([1]FSHIP!B:B,MATCH(A355,[1]FSHIP!A:A,0)),
    IFERROR(
        INDEX([1]釣具商品ship!B:B,MATCH(A355,[1]釣具商品ship!A:A,0)),
        IFERROR(
            INDEX([1]玩具商品ship!B:B,MATCH(A355,[1]玩具商品ship!A:A,0)),
            IFERROR(
                INDEX([1]OEMship!B:B,MATCH(A355,[1]OEMship!A:A,0)),
                IFERROR(
                    INDEX([1]NV6ship!B:B,MATCH(A355,[1]NV6ship!A:A,0)),
                    IFERROR(
                        INDEX([1]NVship!B:B,MATCH(A355,[1]NVship!A:A,0)),
                        IFERROR(
                            INDEX([1]海ship!B:B,MATCH(A355,[1]海ship!A:A,0)),
                            IFERROR(
                                INDEX([1]ｾﾚship!B:B,MATCH(A355,[1]ｾﾚship!A:A,0)),
                                IFERROR(
                                    INDEX([1]ｾﾚﾓﾆｰ商品ship!B:B,MATCH(A355,[1]ｾﾚﾓﾆｰ商品ship!A:A,0)),
                                    INDEX([2]NV!D:D,MATCH(A355,[2]NV!C:C,0))
                                )
                            )
                        )
                    )
                )
            )
        )
    )
)</f>
        <v>６インチレギュラー　WHITE</v>
      </c>
      <c r="C355" s="4" t="s">
        <v>513</v>
      </c>
      <c r="D355" s="4" t="str">
        <f t="shared" si="15"/>
        <v>６インチレギュラー　WHITE ｜ 資材倉庫・ノベルティ【10】 ｜ P-1</v>
      </c>
      <c r="E355" s="11" t="str">
        <f t="shared" si="16"/>
        <v>資材倉庫・ノベルティ</v>
      </c>
      <c r="F355" s="12" t="s">
        <v>477</v>
      </c>
      <c r="G355" s="11" t="str">
        <f t="shared" si="17"/>
        <v>10・資材倉庫・ノベルティP-1</v>
      </c>
      <c r="H355" s="3"/>
    </row>
    <row r="356" spans="1:8" ht="15" customHeight="1" x14ac:dyDescent="0.2">
      <c r="A356" s="10" t="s">
        <v>511</v>
      </c>
      <c r="B356" s="10" t="str">
        <f>IFERROR(
    INDEX([1]FSHIP!B:B,MATCH(A356,[1]FSHIP!A:A,0)),
    IFERROR(
        INDEX([1]釣具商品ship!B:B,MATCH(A356,[1]釣具商品ship!A:A,0)),
        IFERROR(
            INDEX([1]玩具商品ship!B:B,MATCH(A356,[1]玩具商品ship!A:A,0)),
            IFERROR(
                INDEX([1]OEMship!B:B,MATCH(A356,[1]OEMship!A:A,0)),
                IFERROR(
                    INDEX([1]NV6ship!B:B,MATCH(A356,[1]NV6ship!A:A,0)),
                    IFERROR(
                        INDEX([1]NVship!B:B,MATCH(A356,[1]NVship!A:A,0)),
                        IFERROR(
                            INDEX([1]海ship!B:B,MATCH(A356,[1]海ship!A:A,0)),
                            IFERROR(
                                INDEX([1]ｾﾚship!B:B,MATCH(A356,[1]ｾﾚship!A:A,0)),
                                IFERROR(
                                    INDEX([1]ｾﾚﾓﾆｰ商品ship!B:B,MATCH(A356,[1]ｾﾚﾓﾆｰ商品ship!A:A,0)),
                                    INDEX([2]NV!D:D,MATCH(A356,[2]NV!C:C,0))
                                )
                            )
                        )
                    )
                )
            )
        )
    )
)</f>
        <v>６インチレギュラー　VIOLET</v>
      </c>
      <c r="C356" s="4" t="s">
        <v>513</v>
      </c>
      <c r="D356" s="4" t="str">
        <f t="shared" si="15"/>
        <v>６インチレギュラー　VIOLET ｜ 資材倉庫・ノベルティ【10】 ｜ P-1</v>
      </c>
      <c r="E356" s="11" t="str">
        <f t="shared" si="16"/>
        <v>資材倉庫・ノベルティ</v>
      </c>
      <c r="F356" s="12" t="s">
        <v>477</v>
      </c>
      <c r="G356" s="11" t="str">
        <f t="shared" si="17"/>
        <v>10・資材倉庫・ノベルティP-1</v>
      </c>
      <c r="H356" s="3"/>
    </row>
    <row r="357" spans="1:8" ht="15" customHeight="1" x14ac:dyDescent="0.2">
      <c r="A357" s="10" t="s">
        <v>512</v>
      </c>
      <c r="B357" s="10" t="str">
        <f>IFERROR(
    INDEX([1]FSHIP!B:B,MATCH(A357,[1]FSHIP!A:A,0)),
    IFERROR(
        INDEX([1]釣具商品ship!B:B,MATCH(A357,[1]釣具商品ship!A:A,0)),
        IFERROR(
            INDEX([1]玩具商品ship!B:B,MATCH(A357,[1]玩具商品ship!A:A,0)),
            IFERROR(
                INDEX([1]OEMship!B:B,MATCH(A357,[1]OEMship!A:A,0)),
                IFERROR(
                    INDEX([1]NV6ship!B:B,MATCH(A357,[1]NV6ship!A:A,0)),
                    IFERROR(
                        INDEX([1]NVship!B:B,MATCH(A357,[1]NVship!A:A,0)),
                        IFERROR(
                            INDEX([1]海ship!B:B,MATCH(A357,[1]海ship!A:A,0)),
                            IFERROR(
                                INDEX([1]ｾﾚship!B:B,MATCH(A357,[1]ｾﾚship!A:A,0)),
                                IFERROR(
                                    INDEX([1]ｾﾚﾓﾆｰ商品ship!B:B,MATCH(A357,[1]ｾﾚﾓﾆｰ商品ship!A:A,0)),
                                    INDEX([2]NV!D:D,MATCH(A357,[2]NV!C:C,0))
                                )
                            )
                        )
                    )
                )
            )
        )
    )
)</f>
        <v>６インチレギュラー　YELLOW-Hi</v>
      </c>
      <c r="C357" s="4" t="s">
        <v>513</v>
      </c>
      <c r="D357" s="4" t="str">
        <f t="shared" si="15"/>
        <v>６インチレギュラー　YELLOW-Hi ｜ 資材倉庫・ノベルティ【10】 ｜ P-1</v>
      </c>
      <c r="E357" s="11" t="str">
        <f t="shared" si="16"/>
        <v>資材倉庫・ノベルティ</v>
      </c>
      <c r="F357" s="12" t="s">
        <v>477</v>
      </c>
      <c r="G357" s="11" t="str">
        <f t="shared" si="17"/>
        <v>10・資材倉庫・ノベルティP-1</v>
      </c>
      <c r="H357" s="3"/>
    </row>
    <row r="358" spans="1:8" ht="15" customHeight="1" x14ac:dyDescent="0.2">
      <c r="A358" s="10" t="s">
        <v>655</v>
      </c>
      <c r="B358" s="10" t="str">
        <f>IFERROR(
    INDEX([1]FSHIP!B:B,MATCH(A358,[1]FSHIP!A:A,0)),
    IFERROR(
        INDEX([1]釣具商品ship!B:B,MATCH(A358,[1]釣具商品ship!A:A,0)),
        IFERROR(
            INDEX([1]玩具商品ship!B:B,MATCH(A358,[1]玩具商品ship!A:A,0)),
            IFERROR(
                INDEX([1]OEMship!B:B,MATCH(A358,[1]OEMship!A:A,0)),
                IFERROR(
                    INDEX([1]NV6ship!B:B,MATCH(A358,[1]NV6ship!A:A,0)),
                    IFERROR(
                        INDEX([1]NVship!B:B,MATCH(A358,[1]NVship!A:A,0)),
                        IFERROR(
                            INDEX([1]海ship!B:B,MATCH(A358,[1]海ship!A:A,0)),
                            IFERROR(
                                INDEX([1]ｾﾚship!B:B,MATCH(A358,[1]ｾﾚship!A:A,0)),
                                IFERROR(
                                    INDEX([1]ｾﾚﾓﾆｰ商品ship!B:B,MATCH(A358,[1]ｾﾚﾓﾆｰ商品ship!A:A,0)),
                                    INDEX([2]NV!D:D,MATCH(A358,[2]NV!C:C,0))
                                )
                            )
                        )
                    )
                )
            )
        )
    )
)</f>
        <v>ルミカライト　大閃光　グリーン</v>
      </c>
      <c r="C358" s="4" t="s">
        <v>472</v>
      </c>
      <c r="D358" s="10" t="str">
        <f t="shared" si="15"/>
        <v>ルミカライト　大閃光　グリーン ｜ 資材倉庫・ノベルティ【10】 ｜ A-1</v>
      </c>
      <c r="E358" s="11" t="str">
        <f t="shared" si="16"/>
        <v>資材倉庫・ノベルティ</v>
      </c>
      <c r="F358" s="12" t="s">
        <v>674</v>
      </c>
      <c r="G358" s="11" t="str">
        <f t="shared" si="17"/>
        <v>10・資材倉庫・ノベルティA-1</v>
      </c>
      <c r="H358" s="3"/>
    </row>
    <row r="359" spans="1:8" ht="15" customHeight="1" x14ac:dyDescent="0.2">
      <c r="A359" s="10" t="s">
        <v>656</v>
      </c>
      <c r="B359" s="10" t="str">
        <f>IFERROR(
    INDEX([1]FSHIP!B:B,MATCH(A359,[1]FSHIP!A:A,0)),
    IFERROR(
        INDEX([1]釣具商品ship!B:B,MATCH(A359,[1]釣具商品ship!A:A,0)),
        IFERROR(
            INDEX([1]玩具商品ship!B:B,MATCH(A359,[1]玩具商品ship!A:A,0)),
            IFERROR(
                INDEX([1]OEMship!B:B,MATCH(A359,[1]OEMship!A:A,0)),
                IFERROR(
                    INDEX([1]NV6ship!B:B,MATCH(A359,[1]NV6ship!A:A,0)),
                    IFERROR(
                        INDEX([1]NVship!B:B,MATCH(A359,[1]NVship!A:A,0)),
                        IFERROR(
                            INDEX([1]海ship!B:B,MATCH(A359,[1]海ship!A:A,0)),
                            IFERROR(
                                INDEX([1]ｾﾚship!B:B,MATCH(A359,[1]ｾﾚship!A:A,0)),
                                IFERROR(
                                    INDEX([1]ｾﾚﾓﾆｰ商品ship!B:B,MATCH(A359,[1]ｾﾚﾓﾆｰ商品ship!A:A,0)),
                                    INDEX([2]NV!D:D,MATCH(A359,[2]NV!C:C,0))
                                )
                            )
                        )
                    )
                )
            )
        )
    )
)</f>
        <v>ルミカライト　大閃光　ブルー</v>
      </c>
      <c r="C359" s="4" t="s">
        <v>472</v>
      </c>
      <c r="D359" s="10" t="str">
        <f t="shared" si="15"/>
        <v>ルミカライト　大閃光　ブルー ｜ 資材倉庫・ノベルティ【10】 ｜ A-1</v>
      </c>
      <c r="E359" s="11" t="str">
        <f t="shared" si="16"/>
        <v>資材倉庫・ノベルティ</v>
      </c>
      <c r="F359" s="12" t="s">
        <v>674</v>
      </c>
      <c r="G359" s="11" t="str">
        <f t="shared" si="17"/>
        <v>10・資材倉庫・ノベルティA-1</v>
      </c>
      <c r="H359" s="3"/>
    </row>
    <row r="360" spans="1:8" ht="15" customHeight="1" x14ac:dyDescent="0.2">
      <c r="A360" s="10" t="s">
        <v>657</v>
      </c>
      <c r="B360" s="10" t="str">
        <f>IFERROR(
    INDEX([1]FSHIP!B:B,MATCH(A360,[1]FSHIP!A:A,0)),
    IFERROR(
        INDEX([1]釣具商品ship!B:B,MATCH(A360,[1]釣具商品ship!A:A,0)),
        IFERROR(
            INDEX([1]玩具商品ship!B:B,MATCH(A360,[1]玩具商品ship!A:A,0)),
            IFERROR(
                INDEX([1]OEMship!B:B,MATCH(A360,[1]OEMship!A:A,0)),
                IFERROR(
                    INDEX([1]NV6ship!B:B,MATCH(A360,[1]NV6ship!A:A,0)),
                    IFERROR(
                        INDEX([1]NVship!B:B,MATCH(A360,[1]NVship!A:A,0)),
                        IFERROR(
                            INDEX([1]海ship!B:B,MATCH(A360,[1]海ship!A:A,0)),
                            IFERROR(
                                INDEX([1]ｾﾚship!B:B,MATCH(A360,[1]ｾﾚship!A:A,0)),
                                IFERROR(
                                    INDEX([1]ｾﾚﾓﾆｰ商品ship!B:B,MATCH(A360,[1]ｾﾚﾓﾆｰ商品ship!A:A,0)),
                                    INDEX([2]NV!D:D,MATCH(A360,[2]NV!C:C,0))
                                )
                            )
                        )
                    )
                )
            )
        )
    )
)</f>
        <v>ルミカライト　大閃光　ピンク</v>
      </c>
      <c r="C360" s="4" t="s">
        <v>472</v>
      </c>
      <c r="D360" s="10" t="str">
        <f t="shared" si="15"/>
        <v>ルミカライト　大閃光　ピンク ｜ 資材倉庫・ノベルティ【10】 ｜ A-1</v>
      </c>
      <c r="E360" s="11" t="str">
        <f t="shared" si="16"/>
        <v>資材倉庫・ノベルティ</v>
      </c>
      <c r="F360" s="12" t="s">
        <v>674</v>
      </c>
      <c r="G360" s="11" t="str">
        <f t="shared" si="17"/>
        <v>10・資材倉庫・ノベルティA-1</v>
      </c>
      <c r="H360" s="3"/>
    </row>
    <row r="361" spans="1:8" ht="15" customHeight="1" x14ac:dyDescent="0.2">
      <c r="A361" s="10" t="s">
        <v>658</v>
      </c>
      <c r="B361" s="10" t="str">
        <f>IFERROR(
    INDEX([1]FSHIP!B:B,MATCH(A361,[1]FSHIP!A:A,0)),
    IFERROR(
        INDEX([1]釣具商品ship!B:B,MATCH(A361,[1]釣具商品ship!A:A,0)),
        IFERROR(
            INDEX([1]玩具商品ship!B:B,MATCH(A361,[1]玩具商品ship!A:A,0)),
            IFERROR(
                INDEX([1]OEMship!B:B,MATCH(A361,[1]OEMship!A:A,0)),
                IFERROR(
                    INDEX([1]NV6ship!B:B,MATCH(A361,[1]NV6ship!A:A,0)),
                    IFERROR(
                        INDEX([1]NVship!B:B,MATCH(A361,[1]NVship!A:A,0)),
                        IFERROR(
                            INDEX([1]海ship!B:B,MATCH(A361,[1]海ship!A:A,0)),
                            IFERROR(
                                INDEX([1]ｾﾚship!B:B,MATCH(A361,[1]ｾﾚship!A:A,0)),
                                IFERROR(
                                    INDEX([1]ｾﾚﾓﾆｰ商品ship!B:B,MATCH(A361,[1]ｾﾚﾓﾆｰ商品ship!A:A,0)),
                                    INDEX([2]NV!D:D,MATCH(A361,[2]NV!C:C,0))
                                )
                            )
                        )
                    )
                )
            )
        )
    )
)</f>
        <v>ルミカライト　大閃光　オレンジ</v>
      </c>
      <c r="C361" s="4" t="s">
        <v>472</v>
      </c>
      <c r="D361" s="10" t="str">
        <f t="shared" si="15"/>
        <v>ルミカライト　大閃光　オレンジ ｜ 資材倉庫・ノベルティ【10】 ｜ A-1</v>
      </c>
      <c r="E361" s="11" t="str">
        <f t="shared" si="16"/>
        <v>資材倉庫・ノベルティ</v>
      </c>
      <c r="F361" s="12" t="s">
        <v>674</v>
      </c>
      <c r="G361" s="11" t="str">
        <f t="shared" si="17"/>
        <v>10・資材倉庫・ノベルティA-1</v>
      </c>
      <c r="H361" s="3"/>
    </row>
    <row r="362" spans="1:8" ht="15" customHeight="1" x14ac:dyDescent="0.2">
      <c r="A362" s="10" t="s">
        <v>659</v>
      </c>
      <c r="B362" s="10" t="str">
        <f>IFERROR(
    INDEX([1]FSHIP!B:B,MATCH(A362,[1]FSHIP!A:A,0)),
    IFERROR(
        INDEX([1]釣具商品ship!B:B,MATCH(A362,[1]釣具商品ship!A:A,0)),
        IFERROR(
            INDEX([1]玩具商品ship!B:B,MATCH(A362,[1]玩具商品ship!A:A,0)),
            IFERROR(
                INDEX([1]OEMship!B:B,MATCH(A362,[1]OEMship!A:A,0)),
                IFERROR(
                    INDEX([1]NV6ship!B:B,MATCH(A362,[1]NV6ship!A:A,0)),
                    IFERROR(
                        INDEX([1]NVship!B:B,MATCH(A362,[1]NVship!A:A,0)),
                        IFERROR(
                            INDEX([1]海ship!B:B,MATCH(A362,[1]海ship!A:A,0)),
                            IFERROR(
                                INDEX([1]ｾﾚship!B:B,MATCH(A362,[1]ｾﾚship!A:A,0)),
                                IFERROR(
                                    INDEX([1]ｾﾚﾓﾆｰ商品ship!B:B,MATCH(A362,[1]ｾﾚﾓﾆｰ商品ship!A:A,0)),
                                    INDEX([2]NV!D:D,MATCH(A362,[2]NV!C:C,0))
                                )
                            )
                        )
                    )
                )
            )
        )
    )
)</f>
        <v>ルミカライト　大閃光　イエロー</v>
      </c>
      <c r="C362" s="4" t="s">
        <v>472</v>
      </c>
      <c r="D362" s="10" t="str">
        <f t="shared" si="15"/>
        <v>ルミカライト　大閃光　イエロー ｜ 資材倉庫・ノベルティ【10】 ｜ A-1</v>
      </c>
      <c r="E362" s="11" t="str">
        <f t="shared" si="16"/>
        <v>資材倉庫・ノベルティ</v>
      </c>
      <c r="F362" s="12" t="s">
        <v>674</v>
      </c>
      <c r="G362" s="11" t="str">
        <f t="shared" si="17"/>
        <v>10・資材倉庫・ノベルティA-1</v>
      </c>
      <c r="H362" s="3"/>
    </row>
    <row r="363" spans="1:8" ht="15" customHeight="1" x14ac:dyDescent="0.2">
      <c r="A363" s="10" t="s">
        <v>660</v>
      </c>
      <c r="B363" s="10" t="str">
        <f>IFERROR(
    INDEX([1]FSHIP!B:B,MATCH(A363,[1]FSHIP!A:A,0)),
    IFERROR(
        INDEX([1]釣具商品ship!B:B,MATCH(A363,[1]釣具商品ship!A:A,0)),
        IFERROR(
            INDEX([1]玩具商品ship!B:B,MATCH(A363,[1]玩具商品ship!A:A,0)),
            IFERROR(
                INDEX([1]OEMship!B:B,MATCH(A363,[1]OEMship!A:A,0)),
                IFERROR(
                    INDEX([1]NV6ship!B:B,MATCH(A363,[1]NV6ship!A:A,0)),
                    IFERROR(
                        INDEX([1]NVship!B:B,MATCH(A363,[1]NVship!A:A,0)),
                        IFERROR(
                            INDEX([1]海ship!B:B,MATCH(A363,[1]海ship!A:A,0)),
                            IFERROR(
                                INDEX([1]ｾﾚship!B:B,MATCH(A363,[1]ｾﾚship!A:A,0)),
                                IFERROR(
                                    INDEX([1]ｾﾚﾓﾆｰ商品ship!B:B,MATCH(A363,[1]ｾﾚﾓﾆｰ商品ship!A:A,0)),
                                    INDEX([2]NV!D:D,MATCH(A363,[2]NV!C:C,0))
                                )
                            )
                        )
                    )
                )
            )
        )
    )
)</f>
        <v>ルミカライト　大閃光　レッド</v>
      </c>
      <c r="C363" s="4" t="s">
        <v>472</v>
      </c>
      <c r="D363" s="10" t="str">
        <f t="shared" si="15"/>
        <v>ルミカライト　大閃光　レッド ｜ 資材倉庫・ノベルティ【10】 ｜ A-1</v>
      </c>
      <c r="E363" s="11" t="str">
        <f t="shared" si="16"/>
        <v>資材倉庫・ノベルティ</v>
      </c>
      <c r="F363" s="12" t="s">
        <v>674</v>
      </c>
      <c r="G363" s="11" t="str">
        <f t="shared" si="17"/>
        <v>10・資材倉庫・ノベルティA-1</v>
      </c>
      <c r="H363" s="3"/>
    </row>
    <row r="364" spans="1:8" ht="15" customHeight="1" x14ac:dyDescent="0.2">
      <c r="A364" s="10" t="s">
        <v>661</v>
      </c>
      <c r="B364" s="10" t="str">
        <f>IFERROR(
    INDEX([1]FSHIP!B:B,MATCH(A364,[1]FSHIP!A:A,0)),
    IFERROR(
        INDEX([1]釣具商品ship!B:B,MATCH(A364,[1]釣具商品ship!A:A,0)),
        IFERROR(
            INDEX([1]玩具商品ship!B:B,MATCH(A364,[1]玩具商品ship!A:A,0)),
            IFERROR(
                INDEX([1]OEMship!B:B,MATCH(A364,[1]OEMship!A:A,0)),
                IFERROR(
                    INDEX([1]NV6ship!B:B,MATCH(A364,[1]NV6ship!A:A,0)),
                    IFERROR(
                        INDEX([1]NVship!B:B,MATCH(A364,[1]NVship!A:A,0)),
                        IFERROR(
                            INDEX([1]海ship!B:B,MATCH(A364,[1]海ship!A:A,0)),
                            IFERROR(
                                INDEX([1]ｾﾚship!B:B,MATCH(A364,[1]ｾﾚship!A:A,0)),
                                IFERROR(
                                    INDEX([1]ｾﾚﾓﾆｰ商品ship!B:B,MATCH(A364,[1]ｾﾚﾓﾆｰ商品ship!A:A,0)),
                                    INDEX([2]NV!D:D,MATCH(A364,[2]NV!C:C,0))
                                )
                            )
                        )
                    )
                )
            )
        )
    )
)</f>
        <v>ルミカライト　大閃光　ホワイト</v>
      </c>
      <c r="C364" s="4" t="s">
        <v>472</v>
      </c>
      <c r="D364" s="10" t="str">
        <f t="shared" si="15"/>
        <v>ルミカライト　大閃光　ホワイト ｜ 資材倉庫・ノベルティ【10】 ｜ A-1</v>
      </c>
      <c r="E364" s="11" t="str">
        <f t="shared" si="16"/>
        <v>資材倉庫・ノベルティ</v>
      </c>
      <c r="F364" s="12" t="s">
        <v>674</v>
      </c>
      <c r="G364" s="11" t="str">
        <f t="shared" si="17"/>
        <v>10・資材倉庫・ノベルティA-1</v>
      </c>
      <c r="H364" s="3"/>
    </row>
    <row r="365" spans="1:8" ht="15" customHeight="1" x14ac:dyDescent="0.2">
      <c r="A365" s="10" t="s">
        <v>662</v>
      </c>
      <c r="B365" s="10" t="str">
        <f>IFERROR(
    INDEX([1]FSHIP!B:B,MATCH(A365,[1]FSHIP!A:A,0)),
    IFERROR(
        INDEX([1]釣具商品ship!B:B,MATCH(A365,[1]釣具商品ship!A:A,0)),
        IFERROR(
            INDEX([1]玩具商品ship!B:B,MATCH(A365,[1]玩具商品ship!A:A,0)),
            IFERROR(
                INDEX([1]OEMship!B:B,MATCH(A365,[1]OEMship!A:A,0)),
                IFERROR(
                    INDEX([1]NV6ship!B:B,MATCH(A365,[1]NV6ship!A:A,0)),
                    IFERROR(
                        INDEX([1]NVship!B:B,MATCH(A365,[1]NVship!A:A,0)),
                        IFERROR(
                            INDEX([1]海ship!B:B,MATCH(A365,[1]海ship!A:A,0)),
                            IFERROR(
                                INDEX([1]ｾﾚship!B:B,MATCH(A365,[1]ｾﾚship!A:A,0)),
                                IFERROR(
                                    INDEX([1]ｾﾚﾓﾆｰ商品ship!B:B,MATCH(A365,[1]ｾﾚﾓﾆｰ商品ship!A:A,0)),
                                    INDEX([2]NV!D:D,MATCH(A365,[2]NV!C:C,0))
                                )
                            )
                        )
                    )
                )
            )
        )
    )
)</f>
        <v>ルミカライト　大閃光　バイオレット</v>
      </c>
      <c r="C365" s="4" t="s">
        <v>472</v>
      </c>
      <c r="D365" s="10" t="str">
        <f t="shared" si="15"/>
        <v>ルミカライト　大閃光　バイオレット ｜ 資材倉庫・ノベルティ【10】 ｜ A-1</v>
      </c>
      <c r="E365" s="11" t="str">
        <f t="shared" si="16"/>
        <v>資材倉庫・ノベルティ</v>
      </c>
      <c r="F365" s="12" t="s">
        <v>674</v>
      </c>
      <c r="G365" s="11" t="str">
        <f t="shared" si="17"/>
        <v>10・資材倉庫・ノベルティA-1</v>
      </c>
      <c r="H365" s="3"/>
    </row>
    <row r="366" spans="1:8" ht="15" customHeight="1" x14ac:dyDescent="0.2">
      <c r="A366" s="10" t="s">
        <v>663</v>
      </c>
      <c r="B366" s="10" t="str">
        <f>IFERROR(
    INDEX([1]FSHIP!B:B,MATCH(A366,[1]FSHIP!A:A,0)),
    IFERROR(
        INDEX([1]釣具商品ship!B:B,MATCH(A366,[1]釣具商品ship!A:A,0)),
        IFERROR(
            INDEX([1]玩具商品ship!B:B,MATCH(A366,[1]玩具商品ship!A:A,0)),
            IFERROR(
                INDEX([1]OEMship!B:B,MATCH(A366,[1]OEMship!A:A,0)),
                IFERROR(
                    INDEX([1]NV6ship!B:B,MATCH(A366,[1]NV6ship!A:A,0)),
                    IFERROR(
                        INDEX([1]NVship!B:B,MATCH(A366,[1]NVship!A:A,0)),
                        IFERROR(
                            INDEX([1]海ship!B:B,MATCH(A366,[1]海ship!A:A,0)),
                            IFERROR(
                                INDEX([1]ｾﾚship!B:B,MATCH(A366,[1]ｾﾚship!A:A,0)),
                                IFERROR(
                                    INDEX([1]ｾﾚﾓﾆｰ商品ship!B:B,MATCH(A366,[1]ｾﾚﾓﾆｰ商品ship!A:A,0)),
                                    INDEX([2]NV!D:D,MATCH(A366,[2]NV!C:C,0))
                                )
                            )
                        )
                    )
                )
            )
        )
    )
)</f>
        <v>ルミカライト　大閃光 ﾊﾟｽﾃﾙﾌﾞﾙｰ&lt;浅葱&gt;</v>
      </c>
      <c r="C366" s="4" t="s">
        <v>472</v>
      </c>
      <c r="D366" s="10" t="str">
        <f t="shared" si="15"/>
        <v>ルミカライト　大閃光 ﾊﾟｽﾃﾙﾌﾞﾙｰ&lt;浅葱&gt; ｜ 資材倉庫・ノベルティ【10】 ｜ A-1</v>
      </c>
      <c r="E366" s="11" t="str">
        <f t="shared" si="16"/>
        <v>資材倉庫・ノベルティ</v>
      </c>
      <c r="F366" s="12" t="s">
        <v>674</v>
      </c>
      <c r="G366" s="11" t="str">
        <f t="shared" si="17"/>
        <v>10・資材倉庫・ノベルティA-1</v>
      </c>
      <c r="H366" s="3"/>
    </row>
    <row r="367" spans="1:8" ht="15" customHeight="1" x14ac:dyDescent="0.2">
      <c r="A367" s="10" t="s">
        <v>664</v>
      </c>
      <c r="B367" s="10" t="str">
        <f>IFERROR(
    INDEX([1]FSHIP!B:B,MATCH(A367,[1]FSHIP!A:A,0)),
    IFERROR(
        INDEX([1]釣具商品ship!B:B,MATCH(A367,[1]釣具商品ship!A:A,0)),
        IFERROR(
            INDEX([1]玩具商品ship!B:B,MATCH(A367,[1]玩具商品ship!A:A,0)),
            IFERROR(
                INDEX([1]OEMship!B:B,MATCH(A367,[1]OEMship!A:A,0)),
                IFERROR(
                    INDEX([1]NV6ship!B:B,MATCH(A367,[1]NV6ship!A:A,0)),
                    IFERROR(
                        INDEX([1]NVship!B:B,MATCH(A367,[1]NVship!A:A,0)),
                        IFERROR(
                            INDEX([1]海ship!B:B,MATCH(A367,[1]海ship!A:A,0)),
                            IFERROR(
                                INDEX([1]ｾﾚship!B:B,MATCH(A367,[1]ｾﾚship!A:A,0)),
                                IFERROR(
                                    INDEX([1]ｾﾚﾓﾆｰ商品ship!B:B,MATCH(A367,[1]ｾﾚﾓﾆｰ商品ship!A:A,0)),
                                    INDEX([2]NV!D:D,MATCH(A367,[2]NV!C:C,0))
                                )
                            )
                        )
                    )
                )
            )
        )
    )
)</f>
        <v>ルミカライト　大閃光ﾃﾞｨｰﾌﾟﾌﾞﾙｰ&lt;瑠璃&gt;</v>
      </c>
      <c r="C367" s="4" t="s">
        <v>472</v>
      </c>
      <c r="D367" s="10" t="str">
        <f t="shared" si="15"/>
        <v>ルミカライト　大閃光ﾃﾞｨｰﾌﾟﾌﾞﾙｰ&lt;瑠璃&gt; ｜ 資材倉庫・ノベルティ【10】 ｜ A-1</v>
      </c>
      <c r="E367" s="11" t="str">
        <f t="shared" si="16"/>
        <v>資材倉庫・ノベルティ</v>
      </c>
      <c r="F367" s="12" t="s">
        <v>674</v>
      </c>
      <c r="G367" s="11" t="str">
        <f t="shared" si="17"/>
        <v>10・資材倉庫・ノベルティA-1</v>
      </c>
      <c r="H367" s="3"/>
    </row>
    <row r="368" spans="1:8" ht="15" customHeight="1" x14ac:dyDescent="0.2">
      <c r="A368" s="10" t="s">
        <v>648</v>
      </c>
      <c r="B368" s="10" t="str">
        <f>IFERROR(
    INDEX([1]FSHIP!B:B,MATCH(A368,[1]FSHIP!A:A,0)),
    IFERROR(
        INDEX([1]釣具商品ship!B:B,MATCH(A368,[1]釣具商品ship!A:A,0)),
        IFERROR(
            INDEX([1]玩具商品ship!B:B,MATCH(A368,[1]玩具商品ship!A:A,0)),
            IFERROR(
                INDEX([1]OEMship!B:B,MATCH(A368,[1]OEMship!A:A,0)),
                IFERROR(
                    INDEX([1]NV6ship!B:B,MATCH(A368,[1]NV6ship!A:A,0)),
                    IFERROR(
                        INDEX([1]NVship!B:B,MATCH(A368,[1]NVship!A:A,0)),
                        IFERROR(
                            INDEX([1]海ship!B:B,MATCH(A368,[1]海ship!A:A,0)),
                            IFERROR(
                                INDEX([1]ｾﾚship!B:B,MATCH(A368,[1]ｾﾚship!A:A,0)),
                                IFERROR(
                                    INDEX([1]ｾﾚﾓﾆｰ商品ship!B:B,MATCH(A368,[1]ｾﾚﾓﾆｰ商品ship!A:A,0)),
                                    INDEX([2]NV!D:D,MATCH(A368,[2]NV!C:C,0))
                                )
                            )
                        )
                    )
                )
            )
        )
    )
)</f>
        <v>業務用６インチレギュラー25 GREEN</v>
      </c>
      <c r="C368" s="4" t="s">
        <v>472</v>
      </c>
      <c r="D368" s="10" t="str">
        <f t="shared" si="15"/>
        <v>業務用６インチレギュラー25 GREEN ｜ 資材倉庫・ノベルティ【10】 ｜ A-1</v>
      </c>
      <c r="E368" s="11" t="str">
        <f t="shared" si="16"/>
        <v>資材倉庫・ノベルティ</v>
      </c>
      <c r="F368" s="12" t="s">
        <v>674</v>
      </c>
      <c r="G368" s="11" t="str">
        <f t="shared" si="17"/>
        <v>10・資材倉庫・ノベルティA-1</v>
      </c>
      <c r="H368" s="3"/>
    </row>
    <row r="369" spans="1:8" ht="15" customHeight="1" x14ac:dyDescent="0.2">
      <c r="A369" s="10" t="s">
        <v>649</v>
      </c>
      <c r="B369" s="10" t="str">
        <f>IFERROR(
    INDEX([1]FSHIP!B:B,MATCH(A369,[1]FSHIP!A:A,0)),
    IFERROR(
        INDEX([1]釣具商品ship!B:B,MATCH(A369,[1]釣具商品ship!A:A,0)),
        IFERROR(
            INDEX([1]玩具商品ship!B:B,MATCH(A369,[1]玩具商品ship!A:A,0)),
            IFERROR(
                INDEX([1]OEMship!B:B,MATCH(A369,[1]OEMship!A:A,0)),
                IFERROR(
                    INDEX([1]NV6ship!B:B,MATCH(A369,[1]NV6ship!A:A,0)),
                    IFERROR(
                        INDEX([1]NVship!B:B,MATCH(A369,[1]NVship!A:A,0)),
                        IFERROR(
                            INDEX([1]海ship!B:B,MATCH(A369,[1]海ship!A:A,0)),
                            IFERROR(
                                INDEX([1]ｾﾚship!B:B,MATCH(A369,[1]ｾﾚship!A:A,0)),
                                IFERROR(
                                    INDEX([1]ｾﾚﾓﾆｰ商品ship!B:B,MATCH(A369,[1]ｾﾚﾓﾆｰ商品ship!A:A,0)),
                                    INDEX([2]NV!D:D,MATCH(A369,[2]NV!C:C,0))
                                )
                            )
                        )
                    )
                )
            )
        )
    )
)</f>
        <v>業務用６インチレギュラー25 BLUE</v>
      </c>
      <c r="C369" s="4" t="s">
        <v>472</v>
      </c>
      <c r="D369" s="10" t="str">
        <f t="shared" si="15"/>
        <v>業務用６インチレギュラー25 BLUE ｜ 資材倉庫・ノベルティ【10】 ｜ A-1</v>
      </c>
      <c r="E369" s="11" t="str">
        <f t="shared" si="16"/>
        <v>資材倉庫・ノベルティ</v>
      </c>
      <c r="F369" s="12" t="s">
        <v>674</v>
      </c>
      <c r="G369" s="11" t="str">
        <f t="shared" si="17"/>
        <v>10・資材倉庫・ノベルティA-1</v>
      </c>
      <c r="H369" s="3"/>
    </row>
    <row r="370" spans="1:8" ht="15" customHeight="1" x14ac:dyDescent="0.2">
      <c r="A370" s="10" t="s">
        <v>650</v>
      </c>
      <c r="B370" s="10" t="str">
        <f>IFERROR(
    INDEX([1]FSHIP!B:B,MATCH(A370,[1]FSHIP!A:A,0)),
    IFERROR(
        INDEX([1]釣具商品ship!B:B,MATCH(A370,[1]釣具商品ship!A:A,0)),
        IFERROR(
            INDEX([1]玩具商品ship!B:B,MATCH(A370,[1]玩具商品ship!A:A,0)),
            IFERROR(
                INDEX([1]OEMship!B:B,MATCH(A370,[1]OEMship!A:A,0)),
                IFERROR(
                    INDEX([1]NV6ship!B:B,MATCH(A370,[1]NV6ship!A:A,0)),
                    IFERROR(
                        INDEX([1]NVship!B:B,MATCH(A370,[1]NVship!A:A,0)),
                        IFERROR(
                            INDEX([1]海ship!B:B,MATCH(A370,[1]海ship!A:A,0)),
                            IFERROR(
                                INDEX([1]ｾﾚship!B:B,MATCH(A370,[1]ｾﾚship!A:A,0)),
                                IFERROR(
                                    INDEX([1]ｾﾚﾓﾆｰ商品ship!B:B,MATCH(A370,[1]ｾﾚﾓﾆｰ商品ship!A:A,0)),
                                    INDEX([2]NV!D:D,MATCH(A370,[2]NV!C:C,0))
                                )
                            )
                        )
                    )
                )
            )
        )
    )
)</f>
        <v>業務用６インチレギュラー25 PINK</v>
      </c>
      <c r="C370" s="4" t="s">
        <v>472</v>
      </c>
      <c r="D370" s="10" t="str">
        <f t="shared" si="15"/>
        <v>業務用６インチレギュラー25 PINK ｜ 資材倉庫・ノベルティ【10】 ｜ A-1</v>
      </c>
      <c r="E370" s="11" t="str">
        <f t="shared" si="16"/>
        <v>資材倉庫・ノベルティ</v>
      </c>
      <c r="F370" s="12" t="s">
        <v>674</v>
      </c>
      <c r="G370" s="11" t="str">
        <f t="shared" si="17"/>
        <v>10・資材倉庫・ノベルティA-1</v>
      </c>
      <c r="H370" s="3"/>
    </row>
    <row r="371" spans="1:8" ht="15" customHeight="1" x14ac:dyDescent="0.2">
      <c r="A371" s="10" t="s">
        <v>651</v>
      </c>
      <c r="B371" s="10" t="str">
        <f>IFERROR(
    INDEX([1]FSHIP!B:B,MATCH(A371,[1]FSHIP!A:A,0)),
    IFERROR(
        INDEX([1]釣具商品ship!B:B,MATCH(A371,[1]釣具商品ship!A:A,0)),
        IFERROR(
            INDEX([1]玩具商品ship!B:B,MATCH(A371,[1]玩具商品ship!A:A,0)),
            IFERROR(
                INDEX([1]OEMship!B:B,MATCH(A371,[1]OEMship!A:A,0)),
                IFERROR(
                    INDEX([1]NV6ship!B:B,MATCH(A371,[1]NV6ship!A:A,0)),
                    IFERROR(
                        INDEX([1]NVship!B:B,MATCH(A371,[1]NVship!A:A,0)),
                        IFERROR(
                            INDEX([1]海ship!B:B,MATCH(A371,[1]海ship!A:A,0)),
                            IFERROR(
                                INDEX([1]ｾﾚship!B:B,MATCH(A371,[1]ｾﾚship!A:A,0)),
                                IFERROR(
                                    INDEX([1]ｾﾚﾓﾆｰ商品ship!B:B,MATCH(A371,[1]ｾﾚﾓﾆｰ商品ship!A:A,0)),
                                    INDEX([2]NV!D:D,MATCH(A371,[2]NV!C:C,0))
                                )
                            )
                        )
                    )
                )
            )
        )
    )
)</f>
        <v>業務用６インチレギュラー25 ORANGE</v>
      </c>
      <c r="C371" s="4" t="s">
        <v>472</v>
      </c>
      <c r="D371" s="10" t="str">
        <f t="shared" si="15"/>
        <v>業務用６インチレギュラー25 ORANGE ｜ 資材倉庫・ノベルティ【10】 ｜ A-1</v>
      </c>
      <c r="E371" s="11" t="str">
        <f t="shared" si="16"/>
        <v>資材倉庫・ノベルティ</v>
      </c>
      <c r="F371" s="12" t="s">
        <v>674</v>
      </c>
      <c r="G371" s="11" t="str">
        <f t="shared" si="17"/>
        <v>10・資材倉庫・ノベルティA-1</v>
      </c>
      <c r="H371" s="3"/>
    </row>
    <row r="372" spans="1:8" ht="15" customHeight="1" x14ac:dyDescent="0.2">
      <c r="A372" s="10" t="s">
        <v>652</v>
      </c>
      <c r="B372" s="10" t="str">
        <f>IFERROR(
    INDEX([1]FSHIP!B:B,MATCH(A372,[1]FSHIP!A:A,0)),
    IFERROR(
        INDEX([1]釣具商品ship!B:B,MATCH(A372,[1]釣具商品ship!A:A,0)),
        IFERROR(
            INDEX([1]玩具商品ship!B:B,MATCH(A372,[1]玩具商品ship!A:A,0)),
            IFERROR(
                INDEX([1]OEMship!B:B,MATCH(A372,[1]OEMship!A:A,0)),
                IFERROR(
                    INDEX([1]NV6ship!B:B,MATCH(A372,[1]NV6ship!A:A,0)),
                    IFERROR(
                        INDEX([1]NVship!B:B,MATCH(A372,[1]NVship!A:A,0)),
                        IFERROR(
                            INDEX([1]海ship!B:B,MATCH(A372,[1]海ship!A:A,0)),
                            IFERROR(
                                INDEX([1]ｾﾚship!B:B,MATCH(A372,[1]ｾﾚship!A:A,0)),
                                IFERROR(
                                    INDEX([1]ｾﾚﾓﾆｰ商品ship!B:B,MATCH(A372,[1]ｾﾚﾓﾆｰ商品ship!A:A,0)),
                                    INDEX([2]NV!D:D,MATCH(A372,[2]NV!C:C,0))
                                )
                            )
                        )
                    )
                )
            )
        )
    )
)</f>
        <v>業務用６インチレギュラー25 YELLOW</v>
      </c>
      <c r="C372" s="4" t="s">
        <v>472</v>
      </c>
      <c r="D372" s="10" t="str">
        <f t="shared" si="15"/>
        <v>業務用６インチレギュラー25 YELLOW ｜ 資材倉庫・ノベルティ【10】 ｜ A-1</v>
      </c>
      <c r="E372" s="11" t="str">
        <f t="shared" si="16"/>
        <v>資材倉庫・ノベルティ</v>
      </c>
      <c r="F372" s="12" t="s">
        <v>674</v>
      </c>
      <c r="G372" s="11" t="str">
        <f t="shared" si="17"/>
        <v>10・資材倉庫・ノベルティA-1</v>
      </c>
      <c r="H372" s="3"/>
    </row>
    <row r="373" spans="1:8" ht="15" customHeight="1" x14ac:dyDescent="0.2">
      <c r="A373" s="10" t="s">
        <v>653</v>
      </c>
      <c r="B373" s="10" t="str">
        <f>IFERROR(
    INDEX([1]FSHIP!B:B,MATCH(A373,[1]FSHIP!A:A,0)),
    IFERROR(
        INDEX([1]釣具商品ship!B:B,MATCH(A373,[1]釣具商品ship!A:A,0)),
        IFERROR(
            INDEX([1]玩具商品ship!B:B,MATCH(A373,[1]玩具商品ship!A:A,0)),
            IFERROR(
                INDEX([1]OEMship!B:B,MATCH(A373,[1]OEMship!A:A,0)),
                IFERROR(
                    INDEX([1]NV6ship!B:B,MATCH(A373,[1]NV6ship!A:A,0)),
                    IFERROR(
                        INDEX([1]NVship!B:B,MATCH(A373,[1]NVship!A:A,0)),
                        IFERROR(
                            INDEX([1]海ship!B:B,MATCH(A373,[1]海ship!A:A,0)),
                            IFERROR(
                                INDEX([1]ｾﾚship!B:B,MATCH(A373,[1]ｾﾚship!A:A,0)),
                                IFERROR(
                                    INDEX([1]ｾﾚﾓﾆｰ商品ship!B:B,MATCH(A373,[1]ｾﾚﾓﾆｰ商品ship!A:A,0)),
                                    INDEX([2]NV!D:D,MATCH(A373,[2]NV!C:C,0))
                                )
                            )
                        )
                    )
                )
            )
        )
    )
)</f>
        <v>業務用６インチレギュラー25 RED</v>
      </c>
      <c r="C373" s="4" t="s">
        <v>472</v>
      </c>
      <c r="D373" s="10" t="str">
        <f t="shared" si="15"/>
        <v>業務用６インチレギュラー25 RED ｜ 資材倉庫・ノベルティ【10】 ｜ A-1</v>
      </c>
      <c r="E373" s="11" t="str">
        <f t="shared" si="16"/>
        <v>資材倉庫・ノベルティ</v>
      </c>
      <c r="F373" s="12" t="s">
        <v>674</v>
      </c>
      <c r="G373" s="11" t="str">
        <f t="shared" si="17"/>
        <v>10・資材倉庫・ノベルティA-1</v>
      </c>
      <c r="H373" s="3"/>
    </row>
    <row r="374" spans="1:8" ht="15" customHeight="1" x14ac:dyDescent="0.2">
      <c r="A374" s="10" t="s">
        <v>654</v>
      </c>
      <c r="B374" s="10" t="str">
        <f>IFERROR(
    INDEX([1]FSHIP!B:B,MATCH(A374,[1]FSHIP!A:A,0)),
    IFERROR(
        INDEX([1]釣具商品ship!B:B,MATCH(A374,[1]釣具商品ship!A:A,0)),
        IFERROR(
            INDEX([1]玩具商品ship!B:B,MATCH(A374,[1]玩具商品ship!A:A,0)),
            IFERROR(
                INDEX([1]OEMship!B:B,MATCH(A374,[1]OEMship!A:A,0)),
                IFERROR(
                    INDEX([1]NV6ship!B:B,MATCH(A374,[1]NV6ship!A:A,0)),
                    IFERROR(
                        INDEX([1]NVship!B:B,MATCH(A374,[1]NVship!A:A,0)),
                        IFERROR(
                            INDEX([1]海ship!B:B,MATCH(A374,[1]海ship!A:A,0)),
                            IFERROR(
                                INDEX([1]ｾﾚship!B:B,MATCH(A374,[1]ｾﾚship!A:A,0)),
                                IFERROR(
                                    INDEX([1]ｾﾚﾓﾆｰ商品ship!B:B,MATCH(A374,[1]ｾﾚﾓﾆｰ商品ship!A:A,0)),
                                    INDEX([2]NV!D:D,MATCH(A374,[2]NV!C:C,0))
                                )
                            )
                        )
                    )
                )
            )
        )
    )
)</f>
        <v>業務用６インチレギュラー25 WHITE</v>
      </c>
      <c r="C374" s="4" t="s">
        <v>472</v>
      </c>
      <c r="D374" s="10" t="str">
        <f t="shared" si="15"/>
        <v>業務用６インチレギュラー25 WHITE ｜ 資材倉庫・ノベルティ【10】 ｜ A-1</v>
      </c>
      <c r="E374" s="11" t="str">
        <f t="shared" si="16"/>
        <v>資材倉庫・ノベルティ</v>
      </c>
      <c r="F374" s="12" t="s">
        <v>674</v>
      </c>
      <c r="G374" s="11" t="str">
        <f t="shared" si="17"/>
        <v>10・資材倉庫・ノベルティA-1</v>
      </c>
      <c r="H374" s="3"/>
    </row>
    <row r="375" spans="1:8" ht="15" customHeight="1" x14ac:dyDescent="0.2">
      <c r="A375" s="10" t="s">
        <v>639</v>
      </c>
      <c r="B375" s="10" t="str">
        <f>IFERROR(
    INDEX([1]FSHIP!B:B,MATCH(A375,[1]FSHIP!A:A,0)),
    IFERROR(
        INDEX([1]釣具商品ship!B:B,MATCH(A375,[1]釣具商品ship!A:A,0)),
        IFERROR(
            INDEX([1]玩具商品ship!B:B,MATCH(A375,[1]玩具商品ship!A:A,0)),
            IFERROR(
                INDEX([1]OEMship!B:B,MATCH(A375,[1]OEMship!A:A,0)),
                IFERROR(
                    INDEX([1]NV6ship!B:B,MATCH(A375,[1]NV6ship!A:A,0)),
                    IFERROR(
                        INDEX([1]NVship!B:B,MATCH(A375,[1]NVship!A:A,0)),
                        IFERROR(
                            INDEX([1]海ship!B:B,MATCH(A375,[1]海ship!A:A,0)),
                            IFERROR(
                                INDEX([1]ｾﾚship!B:B,MATCH(A375,[1]ｾﾚship!A:A,0)),
                                IFERROR(
                                    INDEX([1]ｾﾚﾓﾆｰ商品ship!B:B,MATCH(A375,[1]ｾﾚﾓﾆｰ商品ship!A:A,0)),
                                    INDEX([2]NV!D:D,MATCH(A375,[2]NV!C:C,0))
                                )
                            )
                        )
                    )
                )
            )
        )
    )
)</f>
        <v>業務用６インチレギュラー25 VIOLET</v>
      </c>
      <c r="C375" s="4" t="s">
        <v>472</v>
      </c>
      <c r="D375" s="10" t="str">
        <f t="shared" si="15"/>
        <v>業務用６インチレギュラー25 VIOLET ｜ 資材倉庫・ノベルティ【10】 ｜ A-1</v>
      </c>
      <c r="E375" s="11" t="str">
        <f t="shared" si="16"/>
        <v>資材倉庫・ノベルティ</v>
      </c>
      <c r="F375" s="12" t="s">
        <v>674</v>
      </c>
      <c r="G375" s="11" t="str">
        <f t="shared" si="17"/>
        <v>10・資材倉庫・ノベルティA-1</v>
      </c>
      <c r="H375" s="3"/>
    </row>
    <row r="376" spans="1:8" ht="15" customHeight="1" x14ac:dyDescent="0.2">
      <c r="A376" s="10" t="s">
        <v>640</v>
      </c>
      <c r="B376" s="10" t="str">
        <f>IFERROR(
    INDEX([1]FSHIP!B:B,MATCH(A376,[1]FSHIP!A:A,0)),
    IFERROR(
        INDEX([1]釣具商品ship!B:B,MATCH(A376,[1]釣具商品ship!A:A,0)),
        IFERROR(
            INDEX([1]玩具商品ship!B:B,MATCH(A376,[1]玩具商品ship!A:A,0)),
            IFERROR(
                INDEX([1]OEMship!B:B,MATCH(A376,[1]OEMship!A:A,0)),
                IFERROR(
                    INDEX([1]NV6ship!B:B,MATCH(A376,[1]NV6ship!A:A,0)),
                    IFERROR(
                        INDEX([1]NVship!B:B,MATCH(A376,[1]NVship!A:A,0)),
                        IFERROR(
                            INDEX([1]海ship!B:B,MATCH(A376,[1]海ship!A:A,0)),
                            IFERROR(
                                INDEX([1]ｾﾚship!B:B,MATCH(A376,[1]ｾﾚship!A:A,0)),
                                IFERROR(
                                    INDEX([1]ｾﾚﾓﾆｰ商品ship!B:B,MATCH(A376,[1]ｾﾚﾓﾆｰ商品ship!A:A,0)),
                                    INDEX([2]NV!D:D,MATCH(A376,[2]NV!C:C,0))
                                )
                            )
                        )
                    )
                )
            )
        )
    )
)</f>
        <v>業務用６インチレギュラー25YELLOW-Hi</v>
      </c>
      <c r="C376" s="4" t="s">
        <v>472</v>
      </c>
      <c r="D376" s="10" t="str">
        <f t="shared" si="15"/>
        <v>業務用６インチレギュラー25YELLOW-Hi ｜ 資材倉庫・ノベルティ【10】 ｜ A-1</v>
      </c>
      <c r="E376" s="11" t="str">
        <f t="shared" si="16"/>
        <v>資材倉庫・ノベルティ</v>
      </c>
      <c r="F376" s="12" t="s">
        <v>674</v>
      </c>
      <c r="G376" s="11" t="str">
        <f t="shared" si="17"/>
        <v>10・資材倉庫・ノベルティA-1</v>
      </c>
      <c r="H376" s="3"/>
    </row>
    <row r="377" spans="1:8" ht="15" customHeight="1" x14ac:dyDescent="0.2">
      <c r="A377" s="10" t="s">
        <v>392</v>
      </c>
      <c r="B377" s="10" t="str">
        <f>IFERROR(
    INDEX([1]FSHIP!B:B,MATCH(A377,[1]FSHIP!A:A,0)),
    IFERROR(
        INDEX([1]釣具商品ship!B:B,MATCH(A377,[1]釣具商品ship!A:A,0)),
        IFERROR(
            INDEX([1]玩具商品ship!B:B,MATCH(A377,[1]玩具商品ship!A:A,0)),
            IFERROR(
                INDEX([1]OEMship!B:B,MATCH(A377,[1]OEMship!A:A,0)),
                IFERROR(
                    INDEX([1]NV6ship!B:B,MATCH(A377,[1]NV6ship!A:A,0)),
                    IFERROR(
                        INDEX([1]NVship!B:B,MATCH(A377,[1]NVship!A:A,0)),
                        IFERROR(
                            INDEX([1]海ship!B:B,MATCH(A377,[1]海ship!A:A,0)),
                            IFERROR(
                                INDEX([1]ｾﾚship!B:B,MATCH(A377,[1]ｾﾚship!A:A,0)),
                                IFERROR(
                                    INDEX([1]ｾﾚﾓﾆｰ商品ship!B:B,MATCH(A377,[1]ｾﾚﾓﾆｰ商品ship!A:A,0)),
                                    INDEX([2]NV!D:D,MATCH(A377,[2]NV!C:C,0))
                                )
                            )
                        )
                    )
                )
            )
        )
    )
)</f>
        <v>大閃光　金煌　5本入　ｸﾞﾘｰﾝ</v>
      </c>
      <c r="C377" s="4" t="s">
        <v>391</v>
      </c>
      <c r="D377" s="10" t="str">
        <f t="shared" si="15"/>
        <v>大閃光　金煌　5本入　ｸﾞﾘｰﾝ ｜ 1Fノベルティ【03】 ｜ M-1</v>
      </c>
      <c r="E377" s="11" t="str">
        <f t="shared" si="16"/>
        <v>1Fノベルティ</v>
      </c>
      <c r="F377" s="12" t="s">
        <v>367</v>
      </c>
      <c r="G377" s="11" t="str">
        <f t="shared" si="17"/>
        <v>03・1FノベルティM-1</v>
      </c>
      <c r="H377" s="3"/>
    </row>
    <row r="378" spans="1:8" ht="15" customHeight="1" x14ac:dyDescent="0.2">
      <c r="A378" s="10" t="s">
        <v>393</v>
      </c>
      <c r="B378" s="10" t="str">
        <f>IFERROR(
    INDEX([1]FSHIP!B:B,MATCH(A378,[1]FSHIP!A:A,0)),
    IFERROR(
        INDEX([1]釣具商品ship!B:B,MATCH(A378,[1]釣具商品ship!A:A,0)),
        IFERROR(
            INDEX([1]玩具商品ship!B:B,MATCH(A378,[1]玩具商品ship!A:A,0)),
            IFERROR(
                INDEX([1]OEMship!B:B,MATCH(A378,[1]OEMship!A:A,0)),
                IFERROR(
                    INDEX([1]NV6ship!B:B,MATCH(A378,[1]NV6ship!A:A,0)),
                    IFERROR(
                        INDEX([1]NVship!B:B,MATCH(A378,[1]NVship!A:A,0)),
                        IFERROR(
                            INDEX([1]海ship!B:B,MATCH(A378,[1]海ship!A:A,0)),
                            IFERROR(
                                INDEX([1]ｾﾚship!B:B,MATCH(A378,[1]ｾﾚship!A:A,0)),
                                IFERROR(
                                    INDEX([1]ｾﾚﾓﾆｰ商品ship!B:B,MATCH(A378,[1]ｾﾚﾓﾆｰ商品ship!A:A,0)),
                                    INDEX([2]NV!D:D,MATCH(A378,[2]NV!C:C,0))
                                )
                            )
                        )
                    )
                )
            )
        )
    )
)</f>
        <v>大閃光　金煌　5本入　ﾌﾞﾙｰ</v>
      </c>
      <c r="C378" s="4" t="s">
        <v>391</v>
      </c>
      <c r="D378" s="10" t="str">
        <f t="shared" si="15"/>
        <v>大閃光　金煌　5本入　ﾌﾞﾙｰ ｜ 1Fノベルティ【03】 ｜ M-1</v>
      </c>
      <c r="E378" s="11" t="str">
        <f t="shared" si="16"/>
        <v>1Fノベルティ</v>
      </c>
      <c r="F378" s="12" t="s">
        <v>367</v>
      </c>
      <c r="G378" s="11" t="str">
        <f t="shared" si="17"/>
        <v>03・1FノベルティM-1</v>
      </c>
      <c r="H378" s="3"/>
    </row>
    <row r="379" spans="1:8" ht="15" customHeight="1" x14ac:dyDescent="0.2">
      <c r="A379" s="10" t="s">
        <v>394</v>
      </c>
      <c r="B379" s="10" t="str">
        <f>IFERROR(
    INDEX([1]FSHIP!B:B,MATCH(A379,[1]FSHIP!A:A,0)),
    IFERROR(
        INDEX([1]釣具商品ship!B:B,MATCH(A379,[1]釣具商品ship!A:A,0)),
        IFERROR(
            INDEX([1]玩具商品ship!B:B,MATCH(A379,[1]玩具商品ship!A:A,0)),
            IFERROR(
                INDEX([1]OEMship!B:B,MATCH(A379,[1]OEMship!A:A,0)),
                IFERROR(
                    INDEX([1]NV6ship!B:B,MATCH(A379,[1]NV6ship!A:A,0)),
                    IFERROR(
                        INDEX([1]NVship!B:B,MATCH(A379,[1]NVship!A:A,0)),
                        IFERROR(
                            INDEX([1]海ship!B:B,MATCH(A379,[1]海ship!A:A,0)),
                            IFERROR(
                                INDEX([1]ｾﾚship!B:B,MATCH(A379,[1]ｾﾚship!A:A,0)),
                                IFERROR(
                                    INDEX([1]ｾﾚﾓﾆｰ商品ship!B:B,MATCH(A379,[1]ｾﾚﾓﾆｰ商品ship!A:A,0)),
                                    INDEX([2]NV!D:D,MATCH(A379,[2]NV!C:C,0))
                                )
                            )
                        )
                    )
                )
            )
        )
    )
)</f>
        <v>大閃光　金煌　5本入　ﾋﾟﾝｸ</v>
      </c>
      <c r="C379" s="4" t="s">
        <v>391</v>
      </c>
      <c r="D379" s="10" t="str">
        <f t="shared" si="15"/>
        <v>大閃光　金煌　5本入　ﾋﾟﾝｸ ｜ 1Fノベルティ【03】 ｜ M-1</v>
      </c>
      <c r="E379" s="11" t="str">
        <f t="shared" si="16"/>
        <v>1Fノベルティ</v>
      </c>
      <c r="F379" s="12" t="s">
        <v>367</v>
      </c>
      <c r="G379" s="11" t="str">
        <f t="shared" si="17"/>
        <v>03・1FノベルティM-1</v>
      </c>
      <c r="H379" s="3"/>
    </row>
    <row r="380" spans="1:8" ht="15" customHeight="1" x14ac:dyDescent="0.2">
      <c r="A380" s="10" t="s">
        <v>395</v>
      </c>
      <c r="B380" s="10" t="str">
        <f>IFERROR(
    INDEX([1]FSHIP!B:B,MATCH(A380,[1]FSHIP!A:A,0)),
    IFERROR(
        INDEX([1]釣具商品ship!B:B,MATCH(A380,[1]釣具商品ship!A:A,0)),
        IFERROR(
            INDEX([1]玩具商品ship!B:B,MATCH(A380,[1]玩具商品ship!A:A,0)),
            IFERROR(
                INDEX([1]OEMship!B:B,MATCH(A380,[1]OEMship!A:A,0)),
                IFERROR(
                    INDEX([1]NV6ship!B:B,MATCH(A380,[1]NV6ship!A:A,0)),
                    IFERROR(
                        INDEX([1]NVship!B:B,MATCH(A380,[1]NVship!A:A,0)),
                        IFERROR(
                            INDEX([1]海ship!B:B,MATCH(A380,[1]海ship!A:A,0)),
                            IFERROR(
                                INDEX([1]ｾﾚship!B:B,MATCH(A380,[1]ｾﾚship!A:A,0)),
                                IFERROR(
                                    INDEX([1]ｾﾚﾓﾆｰ商品ship!B:B,MATCH(A380,[1]ｾﾚﾓﾆｰ商品ship!A:A,0)),
                                    INDEX([2]NV!D:D,MATCH(A380,[2]NV!C:C,0))
                                )
                            )
                        )
                    )
                )
            )
        )
    )
)</f>
        <v>大閃光　金煌　5本入　ｵﾚﾝｼﾞ</v>
      </c>
      <c r="C380" s="4" t="s">
        <v>391</v>
      </c>
      <c r="D380" s="10" t="str">
        <f t="shared" si="15"/>
        <v>大閃光　金煌　5本入　ｵﾚﾝｼﾞ ｜ 1Fノベルティ【03】 ｜ M-1</v>
      </c>
      <c r="E380" s="11" t="str">
        <f t="shared" si="16"/>
        <v>1Fノベルティ</v>
      </c>
      <c r="F380" s="12" t="s">
        <v>367</v>
      </c>
      <c r="G380" s="11" t="str">
        <f t="shared" si="17"/>
        <v>03・1FノベルティM-1</v>
      </c>
      <c r="H380" s="3"/>
    </row>
    <row r="381" spans="1:8" ht="15" customHeight="1" x14ac:dyDescent="0.2">
      <c r="A381" s="10" t="s">
        <v>396</v>
      </c>
      <c r="B381" s="10" t="str">
        <f>IFERROR(
    INDEX([1]FSHIP!B:B,MATCH(A381,[1]FSHIP!A:A,0)),
    IFERROR(
        INDEX([1]釣具商品ship!B:B,MATCH(A381,[1]釣具商品ship!A:A,0)),
        IFERROR(
            INDEX([1]玩具商品ship!B:B,MATCH(A381,[1]玩具商品ship!A:A,0)),
            IFERROR(
                INDEX([1]OEMship!B:B,MATCH(A381,[1]OEMship!A:A,0)),
                IFERROR(
                    INDEX([1]NV6ship!B:B,MATCH(A381,[1]NV6ship!A:A,0)),
                    IFERROR(
                        INDEX([1]NVship!B:B,MATCH(A381,[1]NVship!A:A,0)),
                        IFERROR(
                            INDEX([1]海ship!B:B,MATCH(A381,[1]海ship!A:A,0)),
                            IFERROR(
                                INDEX([1]ｾﾚship!B:B,MATCH(A381,[1]ｾﾚship!A:A,0)),
                                IFERROR(
                                    INDEX([1]ｾﾚﾓﾆｰ商品ship!B:B,MATCH(A381,[1]ｾﾚﾓﾆｰ商品ship!A:A,0)),
                                    INDEX([2]NV!D:D,MATCH(A381,[2]NV!C:C,0))
                                )
                            )
                        )
                    )
                )
            )
        )
    )
)</f>
        <v>大閃光　金煌　5本入　ｲｴﾛｰ</v>
      </c>
      <c r="C381" s="4" t="s">
        <v>391</v>
      </c>
      <c r="D381" s="10" t="str">
        <f t="shared" si="15"/>
        <v>大閃光　金煌　5本入　ｲｴﾛｰ ｜ 1Fノベルティ【03】 ｜ M-1</v>
      </c>
      <c r="E381" s="11" t="str">
        <f t="shared" si="16"/>
        <v>1Fノベルティ</v>
      </c>
      <c r="F381" s="12" t="s">
        <v>367</v>
      </c>
      <c r="G381" s="11" t="str">
        <f t="shared" si="17"/>
        <v>03・1FノベルティM-1</v>
      </c>
      <c r="H381" s="3"/>
    </row>
    <row r="382" spans="1:8" ht="15" customHeight="1" x14ac:dyDescent="0.2">
      <c r="A382" s="10" t="s">
        <v>397</v>
      </c>
      <c r="B382" s="10" t="str">
        <f>IFERROR(
    INDEX([1]FSHIP!B:B,MATCH(A382,[1]FSHIP!A:A,0)),
    IFERROR(
        INDEX([1]釣具商品ship!B:B,MATCH(A382,[1]釣具商品ship!A:A,0)),
        IFERROR(
            INDEX([1]玩具商品ship!B:B,MATCH(A382,[1]玩具商品ship!A:A,0)),
            IFERROR(
                INDEX([1]OEMship!B:B,MATCH(A382,[1]OEMship!A:A,0)),
                IFERROR(
                    INDEX([1]NV6ship!B:B,MATCH(A382,[1]NV6ship!A:A,0)),
                    IFERROR(
                        INDEX([1]NVship!B:B,MATCH(A382,[1]NVship!A:A,0)),
                        IFERROR(
                            INDEX([1]海ship!B:B,MATCH(A382,[1]海ship!A:A,0)),
                            IFERROR(
                                INDEX([1]ｾﾚship!B:B,MATCH(A382,[1]ｾﾚship!A:A,0)),
                                IFERROR(
                                    INDEX([1]ｾﾚﾓﾆｰ商品ship!B:B,MATCH(A382,[1]ｾﾚﾓﾆｰ商品ship!A:A,0)),
                                    INDEX([2]NV!D:D,MATCH(A382,[2]NV!C:C,0))
                                )
                            )
                        )
                    )
                )
            )
        )
    )
)</f>
        <v>大閃光　金煌　5本入　ﾚｯﾄﾞ</v>
      </c>
      <c r="C382" s="4" t="s">
        <v>391</v>
      </c>
      <c r="D382" s="10" t="str">
        <f t="shared" si="15"/>
        <v>大閃光　金煌　5本入　ﾚｯﾄﾞ ｜ 1Fノベルティ【03】 ｜ M-1</v>
      </c>
      <c r="E382" s="11" t="str">
        <f t="shared" si="16"/>
        <v>1Fノベルティ</v>
      </c>
      <c r="F382" s="12" t="s">
        <v>367</v>
      </c>
      <c r="G382" s="11" t="str">
        <f t="shared" si="17"/>
        <v>03・1FノベルティM-1</v>
      </c>
      <c r="H382" s="3"/>
    </row>
    <row r="383" spans="1:8" ht="15" customHeight="1" x14ac:dyDescent="0.2">
      <c r="A383" s="10" t="s">
        <v>398</v>
      </c>
      <c r="B383" s="10" t="str">
        <f>IFERROR(
    INDEX([1]FSHIP!B:B,MATCH(A383,[1]FSHIP!A:A,0)),
    IFERROR(
        INDEX([1]釣具商品ship!B:B,MATCH(A383,[1]釣具商品ship!A:A,0)),
        IFERROR(
            INDEX([1]玩具商品ship!B:B,MATCH(A383,[1]玩具商品ship!A:A,0)),
            IFERROR(
                INDEX([1]OEMship!B:B,MATCH(A383,[1]OEMship!A:A,0)),
                IFERROR(
                    INDEX([1]NV6ship!B:B,MATCH(A383,[1]NV6ship!A:A,0)),
                    IFERROR(
                        INDEX([1]NVship!B:B,MATCH(A383,[1]NVship!A:A,0)),
                        IFERROR(
                            INDEX([1]海ship!B:B,MATCH(A383,[1]海ship!A:A,0)),
                            IFERROR(
                                INDEX([1]ｾﾚship!B:B,MATCH(A383,[1]ｾﾚship!A:A,0)),
                                IFERROR(
                                    INDEX([1]ｾﾚﾓﾆｰ商品ship!B:B,MATCH(A383,[1]ｾﾚﾓﾆｰ商品ship!A:A,0)),
                                    INDEX([2]NV!D:D,MATCH(A383,[2]NV!C:C,0))
                                )
                            )
                        )
                    )
                )
            )
        )
    )
)</f>
        <v>大閃光　金煌　5本入　ﾎﾜｲﾄ</v>
      </c>
      <c r="C383" s="4" t="s">
        <v>391</v>
      </c>
      <c r="D383" s="10" t="str">
        <f t="shared" si="15"/>
        <v>大閃光　金煌　5本入　ﾎﾜｲﾄ ｜ 1Fノベルティ【03】 ｜ M-1</v>
      </c>
      <c r="E383" s="11" t="str">
        <f t="shared" si="16"/>
        <v>1Fノベルティ</v>
      </c>
      <c r="F383" s="12" t="s">
        <v>367</v>
      </c>
      <c r="G383" s="11" t="str">
        <f t="shared" si="17"/>
        <v>03・1FノベルティM-1</v>
      </c>
      <c r="H383" s="3"/>
    </row>
    <row r="384" spans="1:8" ht="15" customHeight="1" x14ac:dyDescent="0.2">
      <c r="A384" s="10" t="s">
        <v>399</v>
      </c>
      <c r="B384" s="10" t="str">
        <f>IFERROR(
    INDEX([1]FSHIP!B:B,MATCH(A384,[1]FSHIP!A:A,0)),
    IFERROR(
        INDEX([1]釣具商品ship!B:B,MATCH(A384,[1]釣具商品ship!A:A,0)),
        IFERROR(
            INDEX([1]玩具商品ship!B:B,MATCH(A384,[1]玩具商品ship!A:A,0)),
            IFERROR(
                INDEX([1]OEMship!B:B,MATCH(A384,[1]OEMship!A:A,0)),
                IFERROR(
                    INDEX([1]NV6ship!B:B,MATCH(A384,[1]NV6ship!A:A,0)),
                    IFERROR(
                        INDEX([1]NVship!B:B,MATCH(A384,[1]NVship!A:A,0)),
                        IFERROR(
                            INDEX([1]海ship!B:B,MATCH(A384,[1]海ship!A:A,0)),
                            IFERROR(
                                INDEX([1]ｾﾚship!B:B,MATCH(A384,[1]ｾﾚship!A:A,0)),
                                IFERROR(
                                    INDEX([1]ｾﾚﾓﾆｰ商品ship!B:B,MATCH(A384,[1]ｾﾚﾓﾆｰ商品ship!A:A,0)),
                                    INDEX([2]NV!D:D,MATCH(A384,[2]NV!C:C,0))
                                )
                            )
                        )
                    )
                )
            )
        )
    )
)</f>
        <v>大閃光　金煌　5本入　ﾊﾞｲｵﾚｯﾄ</v>
      </c>
      <c r="C384" s="4" t="s">
        <v>391</v>
      </c>
      <c r="D384" s="10" t="str">
        <f t="shared" si="15"/>
        <v>大閃光　金煌　5本入　ﾊﾞｲｵﾚｯﾄ ｜ 1Fノベルティ【03】 ｜ M-1</v>
      </c>
      <c r="E384" s="11" t="str">
        <f t="shared" si="16"/>
        <v>1Fノベルティ</v>
      </c>
      <c r="F384" s="12" t="s">
        <v>367</v>
      </c>
      <c r="G384" s="11" t="str">
        <f t="shared" si="17"/>
        <v>03・1FノベルティM-1</v>
      </c>
      <c r="H384" s="3"/>
    </row>
    <row r="385" spans="1:8" ht="15" customHeight="1" x14ac:dyDescent="0.2">
      <c r="A385" s="14" t="s">
        <v>700</v>
      </c>
      <c r="B385" s="10" t="str">
        <f>IFERROR(
    INDEX([1]FSHIP!B:B,MATCH(A385,[1]FSHIP!A:A,0)),
    IFERROR(
        INDEX([1]釣具商品ship!B:B,MATCH(A385,[1]釣具商品ship!A:A,0)),
        IFERROR(
            INDEX([1]玩具商品ship!B:B,MATCH(A385,[1]玩具商品ship!A:A,0)),
            IFERROR(
                INDEX([1]OEMship!B:B,MATCH(A385,[1]OEMship!A:A,0)),
                IFERROR(
                    INDEX([1]NV6ship!B:B,MATCH(A385,[1]NV6ship!A:A,0)),
                    IFERROR(
                        INDEX([1]NVship!B:B,MATCH(A385,[1]NVship!A:A,0)),
                        IFERROR(
                            INDEX([1]海ship!B:B,MATCH(A385,[1]海ship!A:A,0)),
                            IFERROR(
                                INDEX([1]ｾﾚship!B:B,MATCH(A385,[1]ｾﾚship!A:A,0)),
                                IFERROR(
                                    INDEX([1]ｾﾚﾓﾆｰ商品ship!B:B,MATCH(A385,[1]ｾﾚﾓﾆｰ商品ship!A:A,0)),
                                    INDEX([2]NV!D:D,MATCH(A385,[2]NV!C:C,0))
                                )
                            )
                        )
                    )
                )
            )
        )
    )
)</f>
        <v>ﾔﾏｷﾞｼ様用大閃光25 ｸﾞﾘｰﾝ</v>
      </c>
      <c r="C385" s="16" t="s">
        <v>472</v>
      </c>
      <c r="D385" s="4" t="str">
        <f t="shared" si="15"/>
        <v>ﾔﾏｷﾞｼ様用大閃光25 ｸﾞﾘｰﾝ ｜ テント倉庫【01】 ｜ A-1</v>
      </c>
      <c r="E385" s="11" t="str">
        <f t="shared" si="16"/>
        <v>テント倉庫</v>
      </c>
      <c r="F385" s="12" t="s">
        <v>721</v>
      </c>
      <c r="G385" s="11" t="str">
        <f t="shared" si="17"/>
        <v>01・テント倉庫A-1</v>
      </c>
      <c r="H385" s="3"/>
    </row>
    <row r="386" spans="1:8" ht="15" customHeight="1" x14ac:dyDescent="0.2">
      <c r="A386" s="14" t="s">
        <v>701</v>
      </c>
      <c r="B386" s="10" t="str">
        <f>IFERROR(
    INDEX([1]FSHIP!B:B,MATCH(A386,[1]FSHIP!A:A,0)),
    IFERROR(
        INDEX([1]釣具商品ship!B:B,MATCH(A386,[1]釣具商品ship!A:A,0)),
        IFERROR(
            INDEX([1]玩具商品ship!B:B,MATCH(A386,[1]玩具商品ship!A:A,0)),
            IFERROR(
                INDEX([1]OEMship!B:B,MATCH(A386,[1]OEMship!A:A,0)),
                IFERROR(
                    INDEX([1]NV6ship!B:B,MATCH(A386,[1]NV6ship!A:A,0)),
                    IFERROR(
                        INDEX([1]NVship!B:B,MATCH(A386,[1]NVship!A:A,0)),
                        IFERROR(
                            INDEX([1]海ship!B:B,MATCH(A386,[1]海ship!A:A,0)),
                            IFERROR(
                                INDEX([1]ｾﾚship!B:B,MATCH(A386,[1]ｾﾚship!A:A,0)),
                                IFERROR(
                                    INDEX([1]ｾﾚﾓﾆｰ商品ship!B:B,MATCH(A386,[1]ｾﾚﾓﾆｰ商品ship!A:A,0)),
                                    INDEX([2]NV!D:D,MATCH(A386,[2]NV!C:C,0))
                                )
                            )
                        )
                    )
                )
            )
        )
    )
)</f>
        <v>ﾔﾏｷﾞｼ様用大閃光25 ﾌﾞﾙｰ</v>
      </c>
      <c r="C386" s="16" t="s">
        <v>472</v>
      </c>
      <c r="D386" s="4" t="str">
        <f t="shared" ref="D386:D449" si="18">B386&amp;" ｜ "&amp;E386&amp;"【"&amp;F386&amp;"】 ｜ "&amp;C386</f>
        <v>ﾔﾏｷﾞｼ様用大閃光25 ﾌﾞﾙｰ ｜ テント倉庫【01】 ｜ A-1</v>
      </c>
      <c r="E386" s="11" t="str">
        <f t="shared" ref="E386:E449" si="19">INDEX(K:K, MATCH(F386, J:J, 0))</f>
        <v>テント倉庫</v>
      </c>
      <c r="F386" s="12" t="s">
        <v>721</v>
      </c>
      <c r="G386" s="11" t="str">
        <f t="shared" ref="G386:G449" si="20">F386&amp;"・"&amp;E386&amp;C386</f>
        <v>01・テント倉庫A-1</v>
      </c>
      <c r="H386" s="3"/>
    </row>
    <row r="387" spans="1:8" ht="15" customHeight="1" x14ac:dyDescent="0.2">
      <c r="A387" s="14" t="s">
        <v>702</v>
      </c>
      <c r="B387" s="10" t="str">
        <f>IFERROR(
    INDEX([1]FSHIP!B:B,MATCH(A387,[1]FSHIP!A:A,0)),
    IFERROR(
        INDEX([1]釣具商品ship!B:B,MATCH(A387,[1]釣具商品ship!A:A,0)),
        IFERROR(
            INDEX([1]玩具商品ship!B:B,MATCH(A387,[1]玩具商品ship!A:A,0)),
            IFERROR(
                INDEX([1]OEMship!B:B,MATCH(A387,[1]OEMship!A:A,0)),
                IFERROR(
                    INDEX([1]NV6ship!B:B,MATCH(A387,[1]NV6ship!A:A,0)),
                    IFERROR(
                        INDEX([1]NVship!B:B,MATCH(A387,[1]NVship!A:A,0)),
                        IFERROR(
                            INDEX([1]海ship!B:B,MATCH(A387,[1]海ship!A:A,0)),
                            IFERROR(
                                INDEX([1]ｾﾚship!B:B,MATCH(A387,[1]ｾﾚship!A:A,0)),
                                IFERROR(
                                    INDEX([1]ｾﾚﾓﾆｰ商品ship!B:B,MATCH(A387,[1]ｾﾚﾓﾆｰ商品ship!A:A,0)),
                                    INDEX([2]NV!D:D,MATCH(A387,[2]NV!C:C,0))
                                )
                            )
                        )
                    )
                )
            )
        )
    )
)</f>
        <v>ﾔﾏｷﾞｼ様用大閃光25 ﾋﾟﾝｸ</v>
      </c>
      <c r="C387" s="16" t="s">
        <v>472</v>
      </c>
      <c r="D387" s="4" t="str">
        <f t="shared" si="18"/>
        <v>ﾔﾏｷﾞｼ様用大閃光25 ﾋﾟﾝｸ ｜ テント倉庫【01】 ｜ A-1</v>
      </c>
      <c r="E387" s="11" t="str">
        <f t="shared" si="19"/>
        <v>テント倉庫</v>
      </c>
      <c r="F387" s="12" t="s">
        <v>721</v>
      </c>
      <c r="G387" s="11" t="str">
        <f t="shared" si="20"/>
        <v>01・テント倉庫A-1</v>
      </c>
      <c r="H387" s="3"/>
    </row>
    <row r="388" spans="1:8" ht="15" customHeight="1" x14ac:dyDescent="0.2">
      <c r="A388" s="14" t="s">
        <v>705</v>
      </c>
      <c r="B388" s="10" t="str">
        <f>IFERROR(
    INDEX([1]FSHIP!B:B,MATCH(A388,[1]FSHIP!A:A,0)),
    IFERROR(
        INDEX([1]釣具商品ship!B:B,MATCH(A388,[1]釣具商品ship!A:A,0)),
        IFERROR(
            INDEX([1]玩具商品ship!B:B,MATCH(A388,[1]玩具商品ship!A:A,0)),
            IFERROR(
                INDEX([1]OEMship!B:B,MATCH(A388,[1]OEMship!A:A,0)),
                IFERROR(
                    INDEX([1]NV6ship!B:B,MATCH(A388,[1]NV6ship!A:A,0)),
                    IFERROR(
                        INDEX([1]NVship!B:B,MATCH(A388,[1]NVship!A:A,0)),
                        IFERROR(
                            INDEX([1]海ship!B:B,MATCH(A388,[1]海ship!A:A,0)),
                            IFERROR(
                                INDEX([1]ｾﾚship!B:B,MATCH(A388,[1]ｾﾚship!A:A,0)),
                                IFERROR(
                                    INDEX([1]ｾﾚﾓﾆｰ商品ship!B:B,MATCH(A388,[1]ｾﾚﾓﾆｰ商品ship!A:A,0)),
                                    INDEX([2]NV!D:D,MATCH(A388,[2]NV!C:C,0))
                                )
                            )
                        )
                    )
                )
            )
        )
    )
)</f>
        <v>ﾔﾏｷﾞｼ様用大閃光25 ｵﾚﾝｼﾞ</v>
      </c>
      <c r="C388" s="16" t="s">
        <v>472</v>
      </c>
      <c r="D388" s="4" t="str">
        <f t="shared" si="18"/>
        <v>ﾔﾏｷﾞｼ様用大閃光25 ｵﾚﾝｼﾞ ｜ テント倉庫【01】 ｜ A-1</v>
      </c>
      <c r="E388" s="11" t="str">
        <f t="shared" si="19"/>
        <v>テント倉庫</v>
      </c>
      <c r="F388" s="12" t="s">
        <v>721</v>
      </c>
      <c r="G388" s="11" t="str">
        <f t="shared" si="20"/>
        <v>01・テント倉庫A-1</v>
      </c>
      <c r="H388" s="3"/>
    </row>
    <row r="389" spans="1:8" ht="15" customHeight="1" x14ac:dyDescent="0.2">
      <c r="A389" s="14" t="s">
        <v>703</v>
      </c>
      <c r="B389" s="10" t="str">
        <f>IFERROR(
    INDEX([1]FSHIP!B:B,MATCH(A389,[1]FSHIP!A:A,0)),
    IFERROR(
        INDEX([1]釣具商品ship!B:B,MATCH(A389,[1]釣具商品ship!A:A,0)),
        IFERROR(
            INDEX([1]玩具商品ship!B:B,MATCH(A389,[1]玩具商品ship!A:A,0)),
            IFERROR(
                INDEX([1]OEMship!B:B,MATCH(A389,[1]OEMship!A:A,0)),
                IFERROR(
                    INDEX([1]NV6ship!B:B,MATCH(A389,[1]NV6ship!A:A,0)),
                    IFERROR(
                        INDEX([1]NVship!B:B,MATCH(A389,[1]NVship!A:A,0)),
                        IFERROR(
                            INDEX([1]海ship!B:B,MATCH(A389,[1]海ship!A:A,0)),
                            IFERROR(
                                INDEX([1]ｾﾚship!B:B,MATCH(A389,[1]ｾﾚship!A:A,0)),
                                IFERROR(
                                    INDEX([1]ｾﾚﾓﾆｰ商品ship!B:B,MATCH(A389,[1]ｾﾚﾓﾆｰ商品ship!A:A,0)),
                                    INDEX([2]NV!D:D,MATCH(A389,[2]NV!C:C,0))
                                )
                            )
                        )
                    )
                )
            )
        )
    )
)</f>
        <v>ﾔﾏｷﾞｼ様用大閃光25 ｲｴﾛｰ</v>
      </c>
      <c r="C389" s="16" t="s">
        <v>472</v>
      </c>
      <c r="D389" s="4" t="str">
        <f t="shared" si="18"/>
        <v>ﾔﾏｷﾞｼ様用大閃光25 ｲｴﾛｰ ｜ テント倉庫【01】 ｜ A-1</v>
      </c>
      <c r="E389" s="11" t="str">
        <f t="shared" si="19"/>
        <v>テント倉庫</v>
      </c>
      <c r="F389" s="12" t="s">
        <v>721</v>
      </c>
      <c r="G389" s="11" t="str">
        <f t="shared" si="20"/>
        <v>01・テント倉庫A-1</v>
      </c>
      <c r="H389" s="3"/>
    </row>
    <row r="390" spans="1:8" ht="15" customHeight="1" x14ac:dyDescent="0.2">
      <c r="A390" s="14" t="s">
        <v>710</v>
      </c>
      <c r="B390" s="10" t="str">
        <f>IFERROR(
    INDEX([1]FSHIP!B:B,MATCH(A390,[1]FSHIP!A:A,0)),
    IFERROR(
        INDEX([1]釣具商品ship!B:B,MATCH(A390,[1]釣具商品ship!A:A,0)),
        IFERROR(
            INDEX([1]玩具商品ship!B:B,MATCH(A390,[1]玩具商品ship!A:A,0)),
            IFERROR(
                INDEX([1]OEMship!B:B,MATCH(A390,[1]OEMship!A:A,0)),
                IFERROR(
                    INDEX([1]NV6ship!B:B,MATCH(A390,[1]NV6ship!A:A,0)),
                    IFERROR(
                        INDEX([1]NVship!B:B,MATCH(A390,[1]NVship!A:A,0)),
                        IFERROR(
                            INDEX([1]海ship!B:B,MATCH(A390,[1]海ship!A:A,0)),
                            IFERROR(
                                INDEX([1]ｾﾚship!B:B,MATCH(A390,[1]ｾﾚship!A:A,0)),
                                IFERROR(
                                    INDEX([1]ｾﾚﾓﾆｰ商品ship!B:B,MATCH(A390,[1]ｾﾚﾓﾆｰ商品ship!A:A,0)),
                                    INDEX([2]NV!D:D,MATCH(A390,[2]NV!C:C,0))
                                )
                            )
                        )
                    )
                )
            )
        )
    )
)</f>
        <v>ﾔﾏｷﾞｼ様用大閃光25 ﾚｯﾄﾞ</v>
      </c>
      <c r="C390" s="16" t="s">
        <v>472</v>
      </c>
      <c r="D390" s="4" t="str">
        <f t="shared" si="18"/>
        <v>ﾔﾏｷﾞｼ様用大閃光25 ﾚｯﾄﾞ ｜ テント倉庫【01】 ｜ A-1</v>
      </c>
      <c r="E390" s="11" t="str">
        <f t="shared" si="19"/>
        <v>テント倉庫</v>
      </c>
      <c r="F390" s="12" t="s">
        <v>721</v>
      </c>
      <c r="G390" s="11" t="str">
        <f t="shared" si="20"/>
        <v>01・テント倉庫A-1</v>
      </c>
      <c r="H390" s="3"/>
    </row>
    <row r="391" spans="1:8" ht="15" customHeight="1" x14ac:dyDescent="0.2">
      <c r="A391" s="14" t="s">
        <v>704</v>
      </c>
      <c r="B391" s="10" t="str">
        <f>IFERROR(
    INDEX([1]FSHIP!B:B,MATCH(A391,[1]FSHIP!A:A,0)),
    IFERROR(
        INDEX([1]釣具商品ship!B:B,MATCH(A391,[1]釣具商品ship!A:A,0)),
        IFERROR(
            INDEX([1]玩具商品ship!B:B,MATCH(A391,[1]玩具商品ship!A:A,0)),
            IFERROR(
                INDEX([1]OEMship!B:B,MATCH(A391,[1]OEMship!A:A,0)),
                IFERROR(
                    INDEX([1]NV6ship!B:B,MATCH(A391,[1]NV6ship!A:A,0)),
                    IFERROR(
                        INDEX([1]NVship!B:B,MATCH(A391,[1]NVship!A:A,0)),
                        IFERROR(
                            INDEX([1]海ship!B:B,MATCH(A391,[1]海ship!A:A,0)),
                            IFERROR(
                                INDEX([1]ｾﾚship!B:B,MATCH(A391,[1]ｾﾚship!A:A,0)),
                                IFERROR(
                                    INDEX([1]ｾﾚﾓﾆｰ商品ship!B:B,MATCH(A391,[1]ｾﾚﾓﾆｰ商品ship!A:A,0)),
                                    INDEX([2]NV!D:D,MATCH(A391,[2]NV!C:C,0))
                                )
                            )
                        )
                    )
                )
            )
        )
    )
)</f>
        <v>ﾔﾏｷﾞｼ様用大閃光25 ﾎﾜｲﾄ</v>
      </c>
      <c r="C391" s="16" t="s">
        <v>472</v>
      </c>
      <c r="D391" s="4" t="str">
        <f t="shared" si="18"/>
        <v>ﾔﾏｷﾞｼ様用大閃光25 ﾎﾜｲﾄ ｜ テント倉庫【01】 ｜ A-1</v>
      </c>
      <c r="E391" s="11" t="str">
        <f t="shared" si="19"/>
        <v>テント倉庫</v>
      </c>
      <c r="F391" s="12" t="s">
        <v>721</v>
      </c>
      <c r="G391" s="11" t="str">
        <f t="shared" si="20"/>
        <v>01・テント倉庫A-1</v>
      </c>
      <c r="H391" s="3"/>
    </row>
    <row r="392" spans="1:8" ht="15" customHeight="1" x14ac:dyDescent="0.2">
      <c r="A392" s="14" t="s">
        <v>706</v>
      </c>
      <c r="B392" s="10" t="str">
        <f>IFERROR(
    INDEX([1]FSHIP!B:B,MATCH(A392,[1]FSHIP!A:A,0)),
    IFERROR(
        INDEX([1]釣具商品ship!B:B,MATCH(A392,[1]釣具商品ship!A:A,0)),
        IFERROR(
            INDEX([1]玩具商品ship!B:B,MATCH(A392,[1]玩具商品ship!A:A,0)),
            IFERROR(
                INDEX([1]OEMship!B:B,MATCH(A392,[1]OEMship!A:A,0)),
                IFERROR(
                    INDEX([1]NV6ship!B:B,MATCH(A392,[1]NV6ship!A:A,0)),
                    IFERROR(
                        INDEX([1]NVship!B:B,MATCH(A392,[1]NVship!A:A,0)),
                        IFERROR(
                            INDEX([1]海ship!B:B,MATCH(A392,[1]海ship!A:A,0)),
                            IFERROR(
                                INDEX([1]ｾﾚship!B:B,MATCH(A392,[1]ｾﾚship!A:A,0)),
                                IFERROR(
                                    INDEX([1]ｾﾚﾓﾆｰ商品ship!B:B,MATCH(A392,[1]ｾﾚﾓﾆｰ商品ship!A:A,0)),
                                    INDEX([2]NV!D:D,MATCH(A392,[2]NV!C:C,0))
                                )
                            )
                        )
                    )
                )
            )
        )
    )
)</f>
        <v>ﾔﾏｷﾞｼ様用大閃光25 ﾊﾞｲｵﾚｯﾄ</v>
      </c>
      <c r="C392" s="16" t="s">
        <v>472</v>
      </c>
      <c r="D392" s="4" t="str">
        <f t="shared" si="18"/>
        <v>ﾔﾏｷﾞｼ様用大閃光25 ﾊﾞｲｵﾚｯﾄ ｜ テント倉庫【01】 ｜ A-1</v>
      </c>
      <c r="E392" s="11" t="str">
        <f t="shared" si="19"/>
        <v>テント倉庫</v>
      </c>
      <c r="F392" s="12" t="s">
        <v>721</v>
      </c>
      <c r="G392" s="11" t="str">
        <f t="shared" si="20"/>
        <v>01・テント倉庫A-1</v>
      </c>
      <c r="H392" s="3"/>
    </row>
    <row r="393" spans="1:8" ht="15" customHeight="1" x14ac:dyDescent="0.2">
      <c r="A393" s="14" t="s">
        <v>707</v>
      </c>
      <c r="B393" s="10" t="str">
        <f>IFERROR(
    INDEX([1]FSHIP!B:B,MATCH(A393,[1]FSHIP!A:A,0)),
    IFERROR(
        INDEX([1]釣具商品ship!B:B,MATCH(A393,[1]釣具商品ship!A:A,0)),
        IFERROR(
            INDEX([1]玩具商品ship!B:B,MATCH(A393,[1]玩具商品ship!A:A,0)),
            IFERROR(
                INDEX([1]OEMship!B:B,MATCH(A393,[1]OEMship!A:A,0)),
                IFERROR(
                    INDEX([1]NV6ship!B:B,MATCH(A393,[1]NV6ship!A:A,0)),
                    IFERROR(
                        INDEX([1]NVship!B:B,MATCH(A393,[1]NVship!A:A,0)),
                        IFERROR(
                            INDEX([1]海ship!B:B,MATCH(A393,[1]海ship!A:A,0)),
                            IFERROR(
                                INDEX([1]ｾﾚship!B:B,MATCH(A393,[1]ｾﾚship!A:A,0)),
                                IFERROR(
                                    INDEX([1]ｾﾚﾓﾆｰ商品ship!B:B,MATCH(A393,[1]ｾﾚﾓﾆｰ商品ship!A:A,0)),
                                    INDEX([2]NV!D:D,MATCH(A393,[2]NV!C:C,0))
                                )
                            )
                        )
                    )
                )
            )
        )
    )
)</f>
        <v>ﾔﾏｷﾞｼ様用大閃光25 ﾊﾟｽﾃﾙﾌﾞﾙｰ&lt;浅葱&gt;</v>
      </c>
      <c r="C393" s="16" t="s">
        <v>472</v>
      </c>
      <c r="D393" s="4" t="str">
        <f t="shared" si="18"/>
        <v>ﾔﾏｷﾞｼ様用大閃光25 ﾊﾟｽﾃﾙﾌﾞﾙｰ&lt;浅葱&gt; ｜ テント倉庫【01】 ｜ A-1</v>
      </c>
      <c r="E393" s="11" t="str">
        <f t="shared" si="19"/>
        <v>テント倉庫</v>
      </c>
      <c r="F393" s="12" t="s">
        <v>721</v>
      </c>
      <c r="G393" s="11" t="str">
        <f t="shared" si="20"/>
        <v>01・テント倉庫A-1</v>
      </c>
      <c r="H393" s="3"/>
    </row>
    <row r="394" spans="1:8" ht="15" customHeight="1" x14ac:dyDescent="0.2">
      <c r="A394" s="14" t="s">
        <v>709</v>
      </c>
      <c r="B394" s="10" t="str">
        <f>IFERROR(
    INDEX([1]FSHIP!B:B,MATCH(A394,[1]FSHIP!A:A,0)),
    IFERROR(
        INDEX([1]釣具商品ship!B:B,MATCH(A394,[1]釣具商品ship!A:A,0)),
        IFERROR(
            INDEX([1]玩具商品ship!B:B,MATCH(A394,[1]玩具商品ship!A:A,0)),
            IFERROR(
                INDEX([1]OEMship!B:B,MATCH(A394,[1]OEMship!A:A,0)),
                IFERROR(
                    INDEX([1]NV6ship!B:B,MATCH(A394,[1]NV6ship!A:A,0)),
                    IFERROR(
                        INDEX([1]NVship!B:B,MATCH(A394,[1]NVship!A:A,0)),
                        IFERROR(
                            INDEX([1]海ship!B:B,MATCH(A394,[1]海ship!A:A,0)),
                            IFERROR(
                                INDEX([1]ｾﾚship!B:B,MATCH(A394,[1]ｾﾚship!A:A,0)),
                                IFERROR(
                                    INDEX([1]ｾﾚﾓﾆｰ商品ship!B:B,MATCH(A394,[1]ｾﾚﾓﾆｰ商品ship!A:A,0)),
                                    INDEX([2]NV!D:D,MATCH(A394,[2]NV!C:C,0))
                                )
                            )
                        )
                    )
                )
            )
        )
    )
)</f>
        <v>ﾔﾏｷﾞｼ様用大閃光25 ﾃﾞｨｰﾌﾟﾌﾞﾙｰ&lt;瑠璃&gt;</v>
      </c>
      <c r="C394" s="16" t="s">
        <v>472</v>
      </c>
      <c r="D394" s="4" t="str">
        <f t="shared" si="18"/>
        <v>ﾔﾏｷﾞｼ様用大閃光25 ﾃﾞｨｰﾌﾟﾌﾞﾙｰ&lt;瑠璃&gt; ｜ テント倉庫【01】 ｜ A-1</v>
      </c>
      <c r="E394" s="11" t="str">
        <f t="shared" si="19"/>
        <v>テント倉庫</v>
      </c>
      <c r="F394" s="12" t="s">
        <v>721</v>
      </c>
      <c r="G394" s="11" t="str">
        <f t="shared" si="20"/>
        <v>01・テント倉庫A-1</v>
      </c>
      <c r="H394" s="3"/>
    </row>
    <row r="395" spans="1:8" ht="15" customHeight="1" x14ac:dyDescent="0.2">
      <c r="A395" s="14" t="s">
        <v>708</v>
      </c>
      <c r="B395" s="10" t="str">
        <f>IFERROR(
    INDEX([1]FSHIP!B:B,MATCH(A395,[1]FSHIP!A:A,0)),
    IFERROR(
        INDEX([1]釣具商品ship!B:B,MATCH(A395,[1]釣具商品ship!A:A,0)),
        IFERROR(
            INDEX([1]玩具商品ship!B:B,MATCH(A395,[1]玩具商品ship!A:A,0)),
            IFERROR(
                INDEX([1]OEMship!B:B,MATCH(A395,[1]OEMship!A:A,0)),
                IFERROR(
                    INDEX([1]NV6ship!B:B,MATCH(A395,[1]NV6ship!A:A,0)),
                    IFERROR(
                        INDEX([1]NVship!B:B,MATCH(A395,[1]NVship!A:A,0)),
                        IFERROR(
                            INDEX([1]海ship!B:B,MATCH(A395,[1]海ship!A:A,0)),
                            IFERROR(
                                INDEX([1]ｾﾚship!B:B,MATCH(A395,[1]ｾﾚship!A:A,0)),
                                IFERROR(
                                    INDEX([1]ｾﾚﾓﾆｰ商品ship!B:B,MATCH(A395,[1]ｾﾚﾓﾆｰ商品ship!A:A,0)),
                                    INDEX([2]NV!D:D,MATCH(A395,[2]NV!C:C,0))
                                )
                            )
                        )
                    )
                )
            )
        )
    )
)</f>
        <v>ﾔﾏｷﾞｼ様用大閃光極25</v>
      </c>
      <c r="C395" s="16" t="s">
        <v>472</v>
      </c>
      <c r="D395" s="4" t="str">
        <f t="shared" si="18"/>
        <v>ﾔﾏｷﾞｼ様用大閃光極25 ｜ テント倉庫【01】 ｜ A-1</v>
      </c>
      <c r="E395" s="11" t="str">
        <f t="shared" si="19"/>
        <v>テント倉庫</v>
      </c>
      <c r="F395" s="12" t="s">
        <v>721</v>
      </c>
      <c r="G395" s="11" t="str">
        <f t="shared" si="20"/>
        <v>01・テント倉庫A-1</v>
      </c>
      <c r="H395" s="3"/>
    </row>
    <row r="396" spans="1:8" ht="15" customHeight="1" x14ac:dyDescent="0.2">
      <c r="A396" s="10" t="s">
        <v>439</v>
      </c>
      <c r="B396" s="10" t="str">
        <f>IFERROR(
    INDEX([1]FSHIP!B:B,MATCH(A396,[1]FSHIP!A:A,0)),
    IFERROR(
        INDEX([1]釣具商品ship!B:B,MATCH(A396,[1]釣具商品ship!A:A,0)),
        IFERROR(
            INDEX([1]玩具商品ship!B:B,MATCH(A396,[1]玩具商品ship!A:A,0)),
            IFERROR(
                INDEX([1]OEMship!B:B,MATCH(A396,[1]OEMship!A:A,0)),
                IFERROR(
                    INDEX([1]NV6ship!B:B,MATCH(A396,[1]NV6ship!A:A,0)),
                    IFERROR(
                        INDEX([1]NVship!B:B,MATCH(A396,[1]NVship!A:A,0)),
                        IFERROR(
                            INDEX([1]海ship!B:B,MATCH(A396,[1]海ship!A:A,0)),
                            IFERROR(
                                INDEX([1]ｾﾚship!B:B,MATCH(A396,[1]ｾﾚship!A:A,0)),
                                IFERROR(
                                    INDEX([1]ｾﾚﾓﾆｰ商品ship!B:B,MATCH(A396,[1]ｾﾚﾓﾆｰ商品ship!A:A,0)),
                                    INDEX([2]NV!D:D,MATCH(A396,[2]NV!C:C,0))
                                )
                            )
                        )
                    )
                )
            )
        )
    )
)</f>
        <v>６インチレギュラー(アーク)ｸﾞﾘｰﾝ</v>
      </c>
      <c r="C396" s="4" t="s">
        <v>437</v>
      </c>
      <c r="D396" s="10" t="str">
        <f t="shared" si="18"/>
        <v>６インチレギュラー(アーク)ｸﾞﾘｰﾝ ｜ 1Fノベルティ【03】 ｜ F-1</v>
      </c>
      <c r="E396" s="11" t="str">
        <f t="shared" si="19"/>
        <v>1Fノベルティ</v>
      </c>
      <c r="F396" s="12" t="s">
        <v>367</v>
      </c>
      <c r="G396" s="11" t="str">
        <f t="shared" si="20"/>
        <v>03・1FノベルティF-1</v>
      </c>
      <c r="H396" s="3"/>
    </row>
    <row r="397" spans="1:8" ht="15" customHeight="1" x14ac:dyDescent="0.2">
      <c r="A397" s="10" t="s">
        <v>440</v>
      </c>
      <c r="B397" s="10" t="str">
        <f>IFERROR(
    INDEX([1]FSHIP!B:B,MATCH(A397,[1]FSHIP!A:A,0)),
    IFERROR(
        INDEX([1]釣具商品ship!B:B,MATCH(A397,[1]釣具商品ship!A:A,0)),
        IFERROR(
            INDEX([1]玩具商品ship!B:B,MATCH(A397,[1]玩具商品ship!A:A,0)),
            IFERROR(
                INDEX([1]OEMship!B:B,MATCH(A397,[1]OEMship!A:A,0)),
                IFERROR(
                    INDEX([1]NV6ship!B:B,MATCH(A397,[1]NV6ship!A:A,0)),
                    IFERROR(
                        INDEX([1]NVship!B:B,MATCH(A397,[1]NVship!A:A,0)),
                        IFERROR(
                            INDEX([1]海ship!B:B,MATCH(A397,[1]海ship!A:A,0)),
                            IFERROR(
                                INDEX([1]ｾﾚship!B:B,MATCH(A397,[1]ｾﾚship!A:A,0)),
                                IFERROR(
                                    INDEX([1]ｾﾚﾓﾆｰ商品ship!B:B,MATCH(A397,[1]ｾﾚﾓﾆｰ商品ship!A:A,0)),
                                    INDEX([2]NV!D:D,MATCH(A397,[2]NV!C:C,0))
                                )
                            )
                        )
                    )
                )
            )
        )
    )
)</f>
        <v>６インチレギュラー(アーク)ﾌﾞﾙｰ</v>
      </c>
      <c r="C397" s="4" t="s">
        <v>437</v>
      </c>
      <c r="D397" s="10" t="str">
        <f t="shared" si="18"/>
        <v>６インチレギュラー(アーク)ﾌﾞﾙｰ ｜ 1Fノベルティ【03】 ｜ F-1</v>
      </c>
      <c r="E397" s="11" t="str">
        <f t="shared" si="19"/>
        <v>1Fノベルティ</v>
      </c>
      <c r="F397" s="12" t="s">
        <v>367</v>
      </c>
      <c r="G397" s="11" t="str">
        <f t="shared" si="20"/>
        <v>03・1FノベルティF-1</v>
      </c>
      <c r="H397" s="3"/>
    </row>
    <row r="398" spans="1:8" ht="15" customHeight="1" x14ac:dyDescent="0.2">
      <c r="A398" s="10" t="s">
        <v>441</v>
      </c>
      <c r="B398" s="10" t="str">
        <f>IFERROR(
    INDEX([1]FSHIP!B:B,MATCH(A398,[1]FSHIP!A:A,0)),
    IFERROR(
        INDEX([1]釣具商品ship!B:B,MATCH(A398,[1]釣具商品ship!A:A,0)),
        IFERROR(
            INDEX([1]玩具商品ship!B:B,MATCH(A398,[1]玩具商品ship!A:A,0)),
            IFERROR(
                INDEX([1]OEMship!B:B,MATCH(A398,[1]OEMship!A:A,0)),
                IFERROR(
                    INDEX([1]NV6ship!B:B,MATCH(A398,[1]NV6ship!A:A,0)),
                    IFERROR(
                        INDEX([1]NVship!B:B,MATCH(A398,[1]NVship!A:A,0)),
                        IFERROR(
                            INDEX([1]海ship!B:B,MATCH(A398,[1]海ship!A:A,0)),
                            IFERROR(
                                INDEX([1]ｾﾚship!B:B,MATCH(A398,[1]ｾﾚship!A:A,0)),
                                IFERROR(
                                    INDEX([1]ｾﾚﾓﾆｰ商品ship!B:B,MATCH(A398,[1]ｾﾚﾓﾆｰ商品ship!A:A,0)),
                                    INDEX([2]NV!D:D,MATCH(A398,[2]NV!C:C,0))
                                )
                            )
                        )
                    )
                )
            )
        )
    )
)</f>
        <v>６インチレギュラー(アーク)ﾋﾟﾝｸ</v>
      </c>
      <c r="C398" s="4" t="s">
        <v>437</v>
      </c>
      <c r="D398" s="10" t="str">
        <f t="shared" si="18"/>
        <v>６インチレギュラー(アーク)ﾋﾟﾝｸ ｜ 1Fノベルティ【03】 ｜ F-1</v>
      </c>
      <c r="E398" s="11" t="str">
        <f t="shared" si="19"/>
        <v>1Fノベルティ</v>
      </c>
      <c r="F398" s="12" t="s">
        <v>367</v>
      </c>
      <c r="G398" s="11" t="str">
        <f t="shared" si="20"/>
        <v>03・1FノベルティF-1</v>
      </c>
      <c r="H398" s="3"/>
    </row>
    <row r="399" spans="1:8" ht="15" customHeight="1" x14ac:dyDescent="0.2">
      <c r="A399" s="10" t="s">
        <v>442</v>
      </c>
      <c r="B399" s="10" t="str">
        <f>IFERROR(
    INDEX([1]FSHIP!B:B,MATCH(A399,[1]FSHIP!A:A,0)),
    IFERROR(
        INDEX([1]釣具商品ship!B:B,MATCH(A399,[1]釣具商品ship!A:A,0)),
        IFERROR(
            INDEX([1]玩具商品ship!B:B,MATCH(A399,[1]玩具商品ship!A:A,0)),
            IFERROR(
                INDEX([1]OEMship!B:B,MATCH(A399,[1]OEMship!A:A,0)),
                IFERROR(
                    INDEX([1]NV6ship!B:B,MATCH(A399,[1]NV6ship!A:A,0)),
                    IFERROR(
                        INDEX([1]NVship!B:B,MATCH(A399,[1]NVship!A:A,0)),
                        IFERROR(
                            INDEX([1]海ship!B:B,MATCH(A399,[1]海ship!A:A,0)),
                            IFERROR(
                                INDEX([1]ｾﾚship!B:B,MATCH(A399,[1]ｾﾚship!A:A,0)),
                                IFERROR(
                                    INDEX([1]ｾﾚﾓﾆｰ商品ship!B:B,MATCH(A399,[1]ｾﾚﾓﾆｰ商品ship!A:A,0)),
                                    INDEX([2]NV!D:D,MATCH(A399,[2]NV!C:C,0))
                                )
                            )
                        )
                    )
                )
            )
        )
    )
)</f>
        <v>６インチレギュラー(アーク)ｵﾚﾝｼﾞ</v>
      </c>
      <c r="C399" s="4" t="s">
        <v>437</v>
      </c>
      <c r="D399" s="10" t="str">
        <f t="shared" si="18"/>
        <v>６インチレギュラー(アーク)ｵﾚﾝｼﾞ ｜ 1Fノベルティ【03】 ｜ F-1</v>
      </c>
      <c r="E399" s="11" t="str">
        <f t="shared" si="19"/>
        <v>1Fノベルティ</v>
      </c>
      <c r="F399" s="12" t="s">
        <v>367</v>
      </c>
      <c r="G399" s="11" t="str">
        <f t="shared" si="20"/>
        <v>03・1FノベルティF-1</v>
      </c>
      <c r="H399" s="3"/>
    </row>
    <row r="400" spans="1:8" ht="15" customHeight="1" x14ac:dyDescent="0.2">
      <c r="A400" s="10" t="s">
        <v>443</v>
      </c>
      <c r="B400" s="10" t="str">
        <f>IFERROR(
    INDEX([1]FSHIP!B:B,MATCH(A400,[1]FSHIP!A:A,0)),
    IFERROR(
        INDEX([1]釣具商品ship!B:B,MATCH(A400,[1]釣具商品ship!A:A,0)),
        IFERROR(
            INDEX([1]玩具商品ship!B:B,MATCH(A400,[1]玩具商品ship!A:A,0)),
            IFERROR(
                INDEX([1]OEMship!B:B,MATCH(A400,[1]OEMship!A:A,0)),
                IFERROR(
                    INDEX([1]NV6ship!B:B,MATCH(A400,[1]NV6ship!A:A,0)),
                    IFERROR(
                        INDEX([1]NVship!B:B,MATCH(A400,[1]NVship!A:A,0)),
                        IFERROR(
                            INDEX([1]海ship!B:B,MATCH(A400,[1]海ship!A:A,0)),
                            IFERROR(
                                INDEX([1]ｾﾚship!B:B,MATCH(A400,[1]ｾﾚship!A:A,0)),
                                IFERROR(
                                    INDEX([1]ｾﾚﾓﾆｰ商品ship!B:B,MATCH(A400,[1]ｾﾚﾓﾆｰ商品ship!A:A,0)),
                                    INDEX([2]NV!D:D,MATCH(A400,[2]NV!C:C,0))
                                )
                            )
                        )
                    )
                )
            )
        )
    )
)</f>
        <v>６インチレギュラー(アーク)ｲｴﾛｰ</v>
      </c>
      <c r="C400" s="4" t="s">
        <v>437</v>
      </c>
      <c r="D400" s="10" t="str">
        <f t="shared" si="18"/>
        <v>６インチレギュラー(アーク)ｲｴﾛｰ ｜ 1Fノベルティ【03】 ｜ F-1</v>
      </c>
      <c r="E400" s="11" t="str">
        <f t="shared" si="19"/>
        <v>1Fノベルティ</v>
      </c>
      <c r="F400" s="12" t="s">
        <v>367</v>
      </c>
      <c r="G400" s="11" t="str">
        <f t="shared" si="20"/>
        <v>03・1FノベルティF-1</v>
      </c>
      <c r="H400" s="3"/>
    </row>
    <row r="401" spans="1:8" ht="15" customHeight="1" x14ac:dyDescent="0.2">
      <c r="A401" s="10" t="s">
        <v>444</v>
      </c>
      <c r="B401" s="10" t="str">
        <f>IFERROR(
    INDEX([1]FSHIP!B:B,MATCH(A401,[1]FSHIP!A:A,0)),
    IFERROR(
        INDEX([1]釣具商品ship!B:B,MATCH(A401,[1]釣具商品ship!A:A,0)),
        IFERROR(
            INDEX([1]玩具商品ship!B:B,MATCH(A401,[1]玩具商品ship!A:A,0)),
            IFERROR(
                INDEX([1]OEMship!B:B,MATCH(A401,[1]OEMship!A:A,0)),
                IFERROR(
                    INDEX([1]NV6ship!B:B,MATCH(A401,[1]NV6ship!A:A,0)),
                    IFERROR(
                        INDEX([1]NVship!B:B,MATCH(A401,[1]NVship!A:A,0)),
                        IFERROR(
                            INDEX([1]海ship!B:B,MATCH(A401,[1]海ship!A:A,0)),
                            IFERROR(
                                INDEX([1]ｾﾚship!B:B,MATCH(A401,[1]ｾﾚship!A:A,0)),
                                IFERROR(
                                    INDEX([1]ｾﾚﾓﾆｰ商品ship!B:B,MATCH(A401,[1]ｾﾚﾓﾆｰ商品ship!A:A,0)),
                                    INDEX([2]NV!D:D,MATCH(A401,[2]NV!C:C,0))
                                )
                            )
                        )
                    )
                )
            )
        )
    )
)</f>
        <v>６インチレギュラー(アーク)ﾚｯﾄﾞ</v>
      </c>
      <c r="C401" s="4" t="s">
        <v>437</v>
      </c>
      <c r="D401" s="10" t="str">
        <f t="shared" si="18"/>
        <v>６インチレギュラー(アーク)ﾚｯﾄﾞ ｜ 1Fノベルティ【03】 ｜ F-1</v>
      </c>
      <c r="E401" s="11" t="str">
        <f t="shared" si="19"/>
        <v>1Fノベルティ</v>
      </c>
      <c r="F401" s="12" t="s">
        <v>367</v>
      </c>
      <c r="G401" s="11" t="str">
        <f t="shared" si="20"/>
        <v>03・1FノベルティF-1</v>
      </c>
      <c r="H401" s="3"/>
    </row>
    <row r="402" spans="1:8" ht="15" customHeight="1" x14ac:dyDescent="0.2">
      <c r="A402" s="10" t="s">
        <v>445</v>
      </c>
      <c r="B402" s="10" t="str">
        <f>IFERROR(
    INDEX([1]FSHIP!B:B,MATCH(A402,[1]FSHIP!A:A,0)),
    IFERROR(
        INDEX([1]釣具商品ship!B:B,MATCH(A402,[1]釣具商品ship!A:A,0)),
        IFERROR(
            INDEX([1]玩具商品ship!B:B,MATCH(A402,[1]玩具商品ship!A:A,0)),
            IFERROR(
                INDEX([1]OEMship!B:B,MATCH(A402,[1]OEMship!A:A,0)),
                IFERROR(
                    INDEX([1]NV6ship!B:B,MATCH(A402,[1]NV6ship!A:A,0)),
                    IFERROR(
                        INDEX([1]NVship!B:B,MATCH(A402,[1]NVship!A:A,0)),
                        IFERROR(
                            INDEX([1]海ship!B:B,MATCH(A402,[1]海ship!A:A,0)),
                            IFERROR(
                                INDEX([1]ｾﾚship!B:B,MATCH(A402,[1]ｾﾚship!A:A,0)),
                                IFERROR(
                                    INDEX([1]ｾﾚﾓﾆｰ商品ship!B:B,MATCH(A402,[1]ｾﾚﾓﾆｰ商品ship!A:A,0)),
                                    INDEX([2]NV!D:D,MATCH(A402,[2]NV!C:C,0))
                                )
                            )
                        )
                    )
                )
            )
        )
    )
)</f>
        <v>６インチレギュラー(アーク)ﾎﾜｲﾄ</v>
      </c>
      <c r="C402" s="4" t="s">
        <v>437</v>
      </c>
      <c r="D402" s="10" t="str">
        <f t="shared" si="18"/>
        <v>６インチレギュラー(アーク)ﾎﾜｲﾄ ｜ 1Fノベルティ【03】 ｜ F-1</v>
      </c>
      <c r="E402" s="11" t="str">
        <f t="shared" si="19"/>
        <v>1Fノベルティ</v>
      </c>
      <c r="F402" s="12" t="s">
        <v>367</v>
      </c>
      <c r="G402" s="11" t="str">
        <f t="shared" si="20"/>
        <v>03・1FノベルティF-1</v>
      </c>
      <c r="H402" s="3"/>
    </row>
    <row r="403" spans="1:8" ht="15" customHeight="1" x14ac:dyDescent="0.2">
      <c r="A403" s="10" t="s">
        <v>446</v>
      </c>
      <c r="B403" s="10" t="str">
        <f>IFERROR(
    INDEX([1]FSHIP!B:B,MATCH(A403,[1]FSHIP!A:A,0)),
    IFERROR(
        INDEX([1]釣具商品ship!B:B,MATCH(A403,[1]釣具商品ship!A:A,0)),
        IFERROR(
            INDEX([1]玩具商品ship!B:B,MATCH(A403,[1]玩具商品ship!A:A,0)),
            IFERROR(
                INDEX([1]OEMship!B:B,MATCH(A403,[1]OEMship!A:A,0)),
                IFERROR(
                    INDEX([1]NV6ship!B:B,MATCH(A403,[1]NV6ship!A:A,0)),
                    IFERROR(
                        INDEX([1]NVship!B:B,MATCH(A403,[1]NVship!A:A,0)),
                        IFERROR(
                            INDEX([1]海ship!B:B,MATCH(A403,[1]海ship!A:A,0)),
                            IFERROR(
                                INDEX([1]ｾﾚship!B:B,MATCH(A403,[1]ｾﾚship!A:A,0)),
                                IFERROR(
                                    INDEX([1]ｾﾚﾓﾆｰ商品ship!B:B,MATCH(A403,[1]ｾﾚﾓﾆｰ商品ship!A:A,0)),
                                    INDEX([2]NV!D:D,MATCH(A403,[2]NV!C:C,0))
                                )
                            )
                        )
                    )
                )
            )
        )
    )
)</f>
        <v>６インチレギュラー(アーク)ﾊﾞｲｵﾚｯﾄ</v>
      </c>
      <c r="C403" s="4" t="s">
        <v>437</v>
      </c>
      <c r="D403" s="10" t="str">
        <f t="shared" si="18"/>
        <v>６インチレギュラー(アーク)ﾊﾞｲｵﾚｯﾄ ｜ 1Fノベルティ【03】 ｜ F-1</v>
      </c>
      <c r="E403" s="11" t="str">
        <f t="shared" si="19"/>
        <v>1Fノベルティ</v>
      </c>
      <c r="F403" s="12" t="s">
        <v>367</v>
      </c>
      <c r="G403" s="11" t="str">
        <f t="shared" si="20"/>
        <v>03・1FノベルティF-1</v>
      </c>
      <c r="H403" s="3"/>
    </row>
    <row r="404" spans="1:8" ht="15" customHeight="1" x14ac:dyDescent="0.2">
      <c r="A404" s="10" t="s">
        <v>495</v>
      </c>
      <c r="B404" s="10" t="str">
        <f>IFERROR(
    INDEX([1]FSHIP!B:B,MATCH(A404,[1]FSHIP!A:A,0)),
    IFERROR(
        INDEX([1]釣具商品ship!B:B,MATCH(A404,[1]釣具商品ship!A:A,0)),
        IFERROR(
            INDEX([1]玩具商品ship!B:B,MATCH(A404,[1]玩具商品ship!A:A,0)),
            IFERROR(
                INDEX([1]OEMship!B:B,MATCH(A404,[1]OEMship!A:A,0)),
                IFERROR(
                    INDEX([1]NV6ship!B:B,MATCH(A404,[1]NV6ship!A:A,0)),
                    IFERROR(
                        INDEX([1]NVship!B:B,MATCH(A404,[1]NVship!A:A,0)),
                        IFERROR(
                            INDEX([1]海ship!B:B,MATCH(A404,[1]海ship!A:A,0)),
                            IFERROR(
                                INDEX([1]ｾﾚship!B:B,MATCH(A404,[1]ｾﾚship!A:A,0)),
                                IFERROR(
                                    INDEX([1]ｾﾚﾓﾆｰ商品ship!B:B,MATCH(A404,[1]ｾﾚﾓﾆｰ商品ship!A:A,0)),
                                    INDEX([2]NV!D:D,MATCH(A404,[2]NV!C:C,0))
                                )
                            )
                        )
                    )
                )
            )
        )
    )
)</f>
        <v>６インチレギュラー(アーク)高輝度ｲｴﾛｰ</v>
      </c>
      <c r="C404" s="4" t="s">
        <v>503</v>
      </c>
      <c r="D404" s="4" t="str">
        <f t="shared" si="18"/>
        <v>６インチレギュラー(アーク)高輝度ｲｴﾛｰ ｜ 資材倉庫・ノベルティ【10】 ｜ O-1</v>
      </c>
      <c r="E404" s="11" t="str">
        <f t="shared" si="19"/>
        <v>資材倉庫・ノベルティ</v>
      </c>
      <c r="F404" s="12" t="s">
        <v>477</v>
      </c>
      <c r="G404" s="11" t="str">
        <f t="shared" si="20"/>
        <v>10・資材倉庫・ノベルティO-1</v>
      </c>
      <c r="H404" s="3"/>
    </row>
    <row r="405" spans="1:8" ht="15" customHeight="1" x14ac:dyDescent="0.2">
      <c r="A405" s="10" t="s">
        <v>496</v>
      </c>
      <c r="B405" s="10" t="str">
        <f>IFERROR(
    INDEX([1]FSHIP!B:B,MATCH(A405,[1]FSHIP!A:A,0)),
    IFERROR(
        INDEX([1]釣具商品ship!B:B,MATCH(A405,[1]釣具商品ship!A:A,0)),
        IFERROR(
            INDEX([1]玩具商品ship!B:B,MATCH(A405,[1]玩具商品ship!A:A,0)),
            IFERROR(
                INDEX([1]OEMship!B:B,MATCH(A405,[1]OEMship!A:A,0)),
                IFERROR(
                    INDEX([1]NV6ship!B:B,MATCH(A405,[1]NV6ship!A:A,0)),
                    IFERROR(
                        INDEX([1]NVship!B:B,MATCH(A405,[1]NVship!A:A,0)),
                        IFERROR(
                            INDEX([1]海ship!B:B,MATCH(A405,[1]海ship!A:A,0)),
                            IFERROR(
                                INDEX([1]ｾﾚship!B:B,MATCH(A405,[1]ｾﾚship!A:A,0)),
                                IFERROR(
                                    INDEX([1]ｾﾚﾓﾆｰ商品ship!B:B,MATCH(A405,[1]ｾﾚﾓﾆｰ商品ship!A:A,0)),
                                    INDEX([2]NV!D:D,MATCH(A405,[2]NV!C:C,0))
                                )
                            )
                        )
                    )
                )
            )
        )
    )
)</f>
        <v>６インチレギュラー(アーク)高輝度ﾋﾟﾝｸ</v>
      </c>
      <c r="C405" s="4" t="s">
        <v>503</v>
      </c>
      <c r="D405" s="4" t="str">
        <f t="shared" si="18"/>
        <v>６インチレギュラー(アーク)高輝度ﾋﾟﾝｸ ｜ 資材倉庫・ノベルティ【10】 ｜ O-1</v>
      </c>
      <c r="E405" s="11" t="str">
        <f t="shared" si="19"/>
        <v>資材倉庫・ノベルティ</v>
      </c>
      <c r="F405" s="12" t="s">
        <v>477</v>
      </c>
      <c r="G405" s="11" t="str">
        <f t="shared" si="20"/>
        <v>10・資材倉庫・ノベルティO-1</v>
      </c>
      <c r="H405" s="3"/>
    </row>
    <row r="406" spans="1:8" ht="15" customHeight="1" x14ac:dyDescent="0.2">
      <c r="A406" s="10" t="s">
        <v>438</v>
      </c>
      <c r="B406" s="10" t="str">
        <f>IFERROR(
    INDEX([1]FSHIP!B:B,MATCH(A406,[1]FSHIP!A:A,0)),
    IFERROR(
        INDEX([1]釣具商品ship!B:B,MATCH(A406,[1]釣具商品ship!A:A,0)),
        IFERROR(
            INDEX([1]玩具商品ship!B:B,MATCH(A406,[1]玩具商品ship!A:A,0)),
            IFERROR(
                INDEX([1]OEMship!B:B,MATCH(A406,[1]OEMship!A:A,0)),
                IFERROR(
                    INDEX([1]NV6ship!B:B,MATCH(A406,[1]NV6ship!A:A,0)),
                    IFERROR(
                        INDEX([1]NVship!B:B,MATCH(A406,[1]NVship!A:A,0)),
                        IFERROR(
                            INDEX([1]海ship!B:B,MATCH(A406,[1]海ship!A:A,0)),
                            IFERROR(
                                INDEX([1]ｾﾚship!B:B,MATCH(A406,[1]ｾﾚship!A:A,0)),
                                IFERROR(
                                    INDEX([1]ｾﾚﾓﾆｰ商品ship!B:B,MATCH(A406,[1]ｾﾚﾓﾆｰ商品ship!A:A,0)),
                                    INDEX([2]NV!D:D,MATCH(A406,[2]NV!C:C,0))
                                )
                            )
                        )
                    )
                )
            )
        )
    )
)</f>
        <v>ルミカライト　大閃光(アーク) 極ｵﾚﾝｼﾞ</v>
      </c>
      <c r="C406" s="4" t="s">
        <v>437</v>
      </c>
      <c r="D406" s="10" t="str">
        <f t="shared" si="18"/>
        <v>ルミカライト　大閃光(アーク) 極ｵﾚﾝｼﾞ ｜ 1Fノベルティ【03】 ｜ F-1</v>
      </c>
      <c r="E406" s="11" t="str">
        <f t="shared" si="19"/>
        <v>1Fノベルティ</v>
      </c>
      <c r="F406" s="12" t="s">
        <v>367</v>
      </c>
      <c r="G406" s="11" t="str">
        <f t="shared" si="20"/>
        <v>03・1FノベルティF-1</v>
      </c>
      <c r="H406" s="3"/>
    </row>
    <row r="407" spans="1:8" ht="15" customHeight="1" x14ac:dyDescent="0.2">
      <c r="A407" s="10" t="s">
        <v>429</v>
      </c>
      <c r="B407" s="10" t="str">
        <f>IFERROR(
    INDEX([1]FSHIP!B:B,MATCH(A407,[1]FSHIP!A:A,0)),
    IFERROR(
        INDEX([1]釣具商品ship!B:B,MATCH(A407,[1]釣具商品ship!A:A,0)),
        IFERROR(
            INDEX([1]玩具商品ship!B:B,MATCH(A407,[1]玩具商品ship!A:A,0)),
            IFERROR(
                INDEX([1]OEMship!B:B,MATCH(A407,[1]OEMship!A:A,0)),
                IFERROR(
                    INDEX([1]NV6ship!B:B,MATCH(A407,[1]NV6ship!A:A,0)),
                    IFERROR(
                        INDEX([1]NVship!B:B,MATCH(A407,[1]NVship!A:A,0)),
                        IFERROR(
                            INDEX([1]海ship!B:B,MATCH(A407,[1]海ship!A:A,0)),
                            IFERROR(
                                INDEX([1]ｾﾚship!B:B,MATCH(A407,[1]ｾﾚship!A:A,0)),
                                IFERROR(
                                    INDEX([1]ｾﾚﾓﾆｰ商品ship!B:B,MATCH(A407,[1]ｾﾚﾓﾆｰ商品ship!A:A,0)),
                                    INDEX([2]NV!D:D,MATCH(A407,[2]NV!C:C,0))
                                )
                            )
                        )
                    )
                )
            )
        )
    )
)</f>
        <v>ルミカライト　大閃光(アーク) ｸﾞﾘｰﾝ</v>
      </c>
      <c r="C407" s="4" t="s">
        <v>428</v>
      </c>
      <c r="D407" s="10" t="str">
        <f t="shared" si="18"/>
        <v>ルミカライト　大閃光(アーク) ｸﾞﾘｰﾝ ｜ 1Fノベルティ【03】 ｜ G-1</v>
      </c>
      <c r="E407" s="11" t="str">
        <f t="shared" si="19"/>
        <v>1Fノベルティ</v>
      </c>
      <c r="F407" s="12" t="s">
        <v>367</v>
      </c>
      <c r="G407" s="11" t="str">
        <f t="shared" si="20"/>
        <v>03・1FノベルティG-1</v>
      </c>
      <c r="H407" s="3"/>
    </row>
    <row r="408" spans="1:8" ht="15" customHeight="1" x14ac:dyDescent="0.2">
      <c r="A408" s="10" t="s">
        <v>430</v>
      </c>
      <c r="B408" s="10" t="str">
        <f>IFERROR(
    INDEX([1]FSHIP!B:B,MATCH(A408,[1]FSHIP!A:A,0)),
    IFERROR(
        INDEX([1]釣具商品ship!B:B,MATCH(A408,[1]釣具商品ship!A:A,0)),
        IFERROR(
            INDEX([1]玩具商品ship!B:B,MATCH(A408,[1]玩具商品ship!A:A,0)),
            IFERROR(
                INDEX([1]OEMship!B:B,MATCH(A408,[1]OEMship!A:A,0)),
                IFERROR(
                    INDEX([1]NV6ship!B:B,MATCH(A408,[1]NV6ship!A:A,0)),
                    IFERROR(
                        INDEX([1]NVship!B:B,MATCH(A408,[1]NVship!A:A,0)),
                        IFERROR(
                            INDEX([1]海ship!B:B,MATCH(A408,[1]海ship!A:A,0)),
                            IFERROR(
                                INDEX([1]ｾﾚship!B:B,MATCH(A408,[1]ｾﾚship!A:A,0)),
                                IFERROR(
                                    INDEX([1]ｾﾚﾓﾆｰ商品ship!B:B,MATCH(A408,[1]ｾﾚﾓﾆｰ商品ship!A:A,0)),
                                    INDEX([2]NV!D:D,MATCH(A408,[2]NV!C:C,0))
                                )
                            )
                        )
                    )
                )
            )
        )
    )
)</f>
        <v>ルミカライト　大閃光(アーク) ブルー</v>
      </c>
      <c r="C408" s="4" t="s">
        <v>428</v>
      </c>
      <c r="D408" s="10" t="str">
        <f t="shared" si="18"/>
        <v>ルミカライト　大閃光(アーク) ブルー ｜ 1Fノベルティ【03】 ｜ G-1</v>
      </c>
      <c r="E408" s="11" t="str">
        <f t="shared" si="19"/>
        <v>1Fノベルティ</v>
      </c>
      <c r="F408" s="12" t="s">
        <v>367</v>
      </c>
      <c r="G408" s="11" t="str">
        <f t="shared" si="20"/>
        <v>03・1FノベルティG-1</v>
      </c>
      <c r="H408" s="3"/>
    </row>
    <row r="409" spans="1:8" ht="15" customHeight="1" x14ac:dyDescent="0.2">
      <c r="A409" s="10" t="s">
        <v>431</v>
      </c>
      <c r="B409" s="10" t="str">
        <f>IFERROR(
    INDEX([1]FSHIP!B:B,MATCH(A409,[1]FSHIP!A:A,0)),
    IFERROR(
        INDEX([1]釣具商品ship!B:B,MATCH(A409,[1]釣具商品ship!A:A,0)),
        IFERROR(
            INDEX([1]玩具商品ship!B:B,MATCH(A409,[1]玩具商品ship!A:A,0)),
            IFERROR(
                INDEX([1]OEMship!B:B,MATCH(A409,[1]OEMship!A:A,0)),
                IFERROR(
                    INDEX([1]NV6ship!B:B,MATCH(A409,[1]NV6ship!A:A,0)),
                    IFERROR(
                        INDEX([1]NVship!B:B,MATCH(A409,[1]NVship!A:A,0)),
                        IFERROR(
                            INDEX([1]海ship!B:B,MATCH(A409,[1]海ship!A:A,0)),
                            IFERROR(
                                INDEX([1]ｾﾚship!B:B,MATCH(A409,[1]ｾﾚship!A:A,0)),
                                IFERROR(
                                    INDEX([1]ｾﾚﾓﾆｰ商品ship!B:B,MATCH(A409,[1]ｾﾚﾓﾆｰ商品ship!A:A,0)),
                                    INDEX([2]NV!D:D,MATCH(A409,[2]NV!C:C,0))
                                )
                            )
                        )
                    )
                )
            )
        )
    )
)</f>
        <v>ルミカライト　大閃光(アーク) ピンク</v>
      </c>
      <c r="C409" s="4" t="s">
        <v>428</v>
      </c>
      <c r="D409" s="10" t="str">
        <f t="shared" si="18"/>
        <v>ルミカライト　大閃光(アーク) ピンク ｜ 1Fノベルティ【03】 ｜ G-1</v>
      </c>
      <c r="E409" s="11" t="str">
        <f t="shared" si="19"/>
        <v>1Fノベルティ</v>
      </c>
      <c r="F409" s="12" t="s">
        <v>367</v>
      </c>
      <c r="G409" s="11" t="str">
        <f t="shared" si="20"/>
        <v>03・1FノベルティG-1</v>
      </c>
      <c r="H409" s="3"/>
    </row>
    <row r="410" spans="1:8" ht="15" customHeight="1" x14ac:dyDescent="0.2">
      <c r="A410" s="10" t="s">
        <v>432</v>
      </c>
      <c r="B410" s="10" t="str">
        <f>IFERROR(
    INDEX([1]FSHIP!B:B,MATCH(A410,[1]FSHIP!A:A,0)),
    IFERROR(
        INDEX([1]釣具商品ship!B:B,MATCH(A410,[1]釣具商品ship!A:A,0)),
        IFERROR(
            INDEX([1]玩具商品ship!B:B,MATCH(A410,[1]玩具商品ship!A:A,0)),
            IFERROR(
                INDEX([1]OEMship!B:B,MATCH(A410,[1]OEMship!A:A,0)),
                IFERROR(
                    INDEX([1]NV6ship!B:B,MATCH(A410,[1]NV6ship!A:A,0)),
                    IFERROR(
                        INDEX([1]NVship!B:B,MATCH(A410,[1]NVship!A:A,0)),
                        IFERROR(
                            INDEX([1]海ship!B:B,MATCH(A410,[1]海ship!A:A,0)),
                            IFERROR(
                                INDEX([1]ｾﾚship!B:B,MATCH(A410,[1]ｾﾚship!A:A,0)),
                                IFERROR(
                                    INDEX([1]ｾﾚﾓﾆｰ商品ship!B:B,MATCH(A410,[1]ｾﾚﾓﾆｰ商品ship!A:A,0)),
                                    INDEX([2]NV!D:D,MATCH(A410,[2]NV!C:C,0))
                                )
                            )
                        )
                    )
                )
            )
        )
    )
)</f>
        <v>ルミカライト　大閃光(アーク) ｵﾚﾝｼﾞ</v>
      </c>
      <c r="C410" s="4" t="s">
        <v>428</v>
      </c>
      <c r="D410" s="10" t="str">
        <f t="shared" si="18"/>
        <v>ルミカライト　大閃光(アーク) ｵﾚﾝｼﾞ ｜ 1Fノベルティ【03】 ｜ G-1</v>
      </c>
      <c r="E410" s="11" t="str">
        <f t="shared" si="19"/>
        <v>1Fノベルティ</v>
      </c>
      <c r="F410" s="12" t="s">
        <v>367</v>
      </c>
      <c r="G410" s="11" t="str">
        <f t="shared" si="20"/>
        <v>03・1FノベルティG-1</v>
      </c>
      <c r="H410" s="3"/>
    </row>
    <row r="411" spans="1:8" ht="15" customHeight="1" x14ac:dyDescent="0.2">
      <c r="A411" s="10" t="s">
        <v>433</v>
      </c>
      <c r="B411" s="10" t="str">
        <f>IFERROR(
    INDEX([1]FSHIP!B:B,MATCH(A411,[1]FSHIP!A:A,0)),
    IFERROR(
        INDEX([1]釣具商品ship!B:B,MATCH(A411,[1]釣具商品ship!A:A,0)),
        IFERROR(
            INDEX([1]玩具商品ship!B:B,MATCH(A411,[1]玩具商品ship!A:A,0)),
            IFERROR(
                INDEX([1]OEMship!B:B,MATCH(A411,[1]OEMship!A:A,0)),
                IFERROR(
                    INDEX([1]NV6ship!B:B,MATCH(A411,[1]NV6ship!A:A,0)),
                    IFERROR(
                        INDEX([1]NVship!B:B,MATCH(A411,[1]NVship!A:A,0)),
                        IFERROR(
                            INDEX([1]海ship!B:B,MATCH(A411,[1]海ship!A:A,0)),
                            IFERROR(
                                INDEX([1]ｾﾚship!B:B,MATCH(A411,[1]ｾﾚship!A:A,0)),
                                IFERROR(
                                    INDEX([1]ｾﾚﾓﾆｰ商品ship!B:B,MATCH(A411,[1]ｾﾚﾓﾆｰ商品ship!A:A,0)),
                                    INDEX([2]NV!D:D,MATCH(A411,[2]NV!C:C,0))
                                )
                            )
                        )
                    )
                )
            )
        )
    )
)</f>
        <v>ルミカライト　大閃光(アーク) ｲｴﾛｰ</v>
      </c>
      <c r="C411" s="4" t="s">
        <v>428</v>
      </c>
      <c r="D411" s="10" t="str">
        <f t="shared" si="18"/>
        <v>ルミカライト　大閃光(アーク) ｲｴﾛｰ ｜ 1Fノベルティ【03】 ｜ G-1</v>
      </c>
      <c r="E411" s="11" t="str">
        <f t="shared" si="19"/>
        <v>1Fノベルティ</v>
      </c>
      <c r="F411" s="12" t="s">
        <v>367</v>
      </c>
      <c r="G411" s="11" t="str">
        <f t="shared" si="20"/>
        <v>03・1FノベルティG-1</v>
      </c>
      <c r="H411" s="3"/>
    </row>
    <row r="412" spans="1:8" ht="15" customHeight="1" x14ac:dyDescent="0.2">
      <c r="A412" s="10" t="s">
        <v>434</v>
      </c>
      <c r="B412" s="10" t="str">
        <f>IFERROR(
    INDEX([1]FSHIP!B:B,MATCH(A412,[1]FSHIP!A:A,0)),
    IFERROR(
        INDEX([1]釣具商品ship!B:B,MATCH(A412,[1]釣具商品ship!A:A,0)),
        IFERROR(
            INDEX([1]玩具商品ship!B:B,MATCH(A412,[1]玩具商品ship!A:A,0)),
            IFERROR(
                INDEX([1]OEMship!B:B,MATCH(A412,[1]OEMship!A:A,0)),
                IFERROR(
                    INDEX([1]NV6ship!B:B,MATCH(A412,[1]NV6ship!A:A,0)),
                    IFERROR(
                        INDEX([1]NVship!B:B,MATCH(A412,[1]NVship!A:A,0)),
                        IFERROR(
                            INDEX([1]海ship!B:B,MATCH(A412,[1]海ship!A:A,0)),
                            IFERROR(
                                INDEX([1]ｾﾚship!B:B,MATCH(A412,[1]ｾﾚship!A:A,0)),
                                IFERROR(
                                    INDEX([1]ｾﾚﾓﾆｰ商品ship!B:B,MATCH(A412,[1]ｾﾚﾓﾆｰ商品ship!A:A,0)),
                                    INDEX([2]NV!D:D,MATCH(A412,[2]NV!C:C,0))
                                )
                            )
                        )
                    )
                )
            )
        )
    )
)</f>
        <v>ルミカライト　大閃光(アーク) ﾚｯﾄﾞ</v>
      </c>
      <c r="C412" s="4" t="s">
        <v>428</v>
      </c>
      <c r="D412" s="10" t="str">
        <f t="shared" si="18"/>
        <v>ルミカライト　大閃光(アーク) ﾚｯﾄﾞ ｜ 1Fノベルティ【03】 ｜ G-1</v>
      </c>
      <c r="E412" s="11" t="str">
        <f t="shared" si="19"/>
        <v>1Fノベルティ</v>
      </c>
      <c r="F412" s="12" t="s">
        <v>367</v>
      </c>
      <c r="G412" s="11" t="str">
        <f t="shared" si="20"/>
        <v>03・1FノベルティG-1</v>
      </c>
      <c r="H412" s="3"/>
    </row>
    <row r="413" spans="1:8" ht="15" customHeight="1" x14ac:dyDescent="0.2">
      <c r="A413" s="10" t="s">
        <v>435</v>
      </c>
      <c r="B413" s="10" t="str">
        <f>IFERROR(
    INDEX([1]FSHIP!B:B,MATCH(A413,[1]FSHIP!A:A,0)),
    IFERROR(
        INDEX([1]釣具商品ship!B:B,MATCH(A413,[1]釣具商品ship!A:A,0)),
        IFERROR(
            INDEX([1]玩具商品ship!B:B,MATCH(A413,[1]玩具商品ship!A:A,0)),
            IFERROR(
                INDEX([1]OEMship!B:B,MATCH(A413,[1]OEMship!A:A,0)),
                IFERROR(
                    INDEX([1]NV6ship!B:B,MATCH(A413,[1]NV6ship!A:A,0)),
                    IFERROR(
                        INDEX([1]NVship!B:B,MATCH(A413,[1]NVship!A:A,0)),
                        IFERROR(
                            INDEX([1]海ship!B:B,MATCH(A413,[1]海ship!A:A,0)),
                            IFERROR(
                                INDEX([1]ｾﾚship!B:B,MATCH(A413,[1]ｾﾚship!A:A,0)),
                                IFERROR(
                                    INDEX([1]ｾﾚﾓﾆｰ商品ship!B:B,MATCH(A413,[1]ｾﾚﾓﾆｰ商品ship!A:A,0)),
                                    INDEX([2]NV!D:D,MATCH(A413,[2]NV!C:C,0))
                                )
                            )
                        )
                    )
                )
            )
        )
    )
)</f>
        <v>ルミカライト　大閃光(アーク) ﾎﾜｲﾄ</v>
      </c>
      <c r="C413" s="4" t="s">
        <v>428</v>
      </c>
      <c r="D413" s="10" t="str">
        <f t="shared" si="18"/>
        <v>ルミカライト　大閃光(アーク) ﾎﾜｲﾄ ｜ 1Fノベルティ【03】 ｜ G-1</v>
      </c>
      <c r="E413" s="11" t="str">
        <f t="shared" si="19"/>
        <v>1Fノベルティ</v>
      </c>
      <c r="F413" s="12" t="s">
        <v>367</v>
      </c>
      <c r="G413" s="11" t="str">
        <f t="shared" si="20"/>
        <v>03・1FノベルティG-1</v>
      </c>
      <c r="H413" s="3"/>
    </row>
    <row r="414" spans="1:8" ht="15" customHeight="1" x14ac:dyDescent="0.2">
      <c r="A414" s="10" t="s">
        <v>436</v>
      </c>
      <c r="B414" s="10" t="str">
        <f>IFERROR(
    INDEX([1]FSHIP!B:B,MATCH(A414,[1]FSHIP!A:A,0)),
    IFERROR(
        INDEX([1]釣具商品ship!B:B,MATCH(A414,[1]釣具商品ship!A:A,0)),
        IFERROR(
            INDEX([1]玩具商品ship!B:B,MATCH(A414,[1]玩具商品ship!A:A,0)),
            IFERROR(
                INDEX([1]OEMship!B:B,MATCH(A414,[1]OEMship!A:A,0)),
                IFERROR(
                    INDEX([1]NV6ship!B:B,MATCH(A414,[1]NV6ship!A:A,0)),
                    IFERROR(
                        INDEX([1]NVship!B:B,MATCH(A414,[1]NVship!A:A,0)),
                        IFERROR(
                            INDEX([1]海ship!B:B,MATCH(A414,[1]海ship!A:A,0)),
                            IFERROR(
                                INDEX([1]ｾﾚship!B:B,MATCH(A414,[1]ｾﾚship!A:A,0)),
                                IFERROR(
                                    INDEX([1]ｾﾚﾓﾆｰ商品ship!B:B,MATCH(A414,[1]ｾﾚﾓﾆｰ商品ship!A:A,0)),
                                    INDEX([2]NV!D:D,MATCH(A414,[2]NV!C:C,0))
                                )
                            )
                        )
                    )
                )
            )
        )
    )
)</f>
        <v>ルミカライト　大閃光(アーク) ﾊﾞｲｵﾚｯﾄ</v>
      </c>
      <c r="C414" s="4" t="s">
        <v>428</v>
      </c>
      <c r="D414" s="10" t="str">
        <f t="shared" si="18"/>
        <v>ルミカライト　大閃光(アーク) ﾊﾞｲｵﾚｯﾄ ｜ 1Fノベルティ【03】 ｜ G-1</v>
      </c>
      <c r="E414" s="11" t="str">
        <f t="shared" si="19"/>
        <v>1Fノベルティ</v>
      </c>
      <c r="F414" s="12" t="s">
        <v>367</v>
      </c>
      <c r="G414" s="11" t="str">
        <f t="shared" si="20"/>
        <v>03・1FノベルティG-1</v>
      </c>
      <c r="H414" s="3"/>
    </row>
    <row r="415" spans="1:8" ht="15" customHeight="1" x14ac:dyDescent="0.2">
      <c r="A415" s="10" t="s">
        <v>420</v>
      </c>
      <c r="B415" s="10" t="str">
        <f>IFERROR(
    INDEX([1]FSHIP!B:B,MATCH(A415,[1]FSHIP!A:A,0)),
    IFERROR(
        INDEX([1]釣具商品ship!B:B,MATCH(A415,[1]釣具商品ship!A:A,0)),
        IFERROR(
            INDEX([1]玩具商品ship!B:B,MATCH(A415,[1]玩具商品ship!A:A,0)),
            IFERROR(
                INDEX([1]OEMship!B:B,MATCH(A415,[1]OEMship!A:A,0)),
                IFERROR(
                    INDEX([1]NV6ship!B:B,MATCH(A415,[1]NV6ship!A:A,0)),
                    IFERROR(
                        INDEX([1]NVship!B:B,MATCH(A415,[1]NVship!A:A,0)),
                        IFERROR(
                            INDEX([1]海ship!B:B,MATCH(A415,[1]海ship!A:A,0)),
                            IFERROR(
                                INDEX([1]ｾﾚship!B:B,MATCH(A415,[1]ｾﾚship!A:A,0)),
                                IFERROR(
                                    INDEX([1]ｾﾚﾓﾆｰ商品ship!B:B,MATCH(A415,[1]ｾﾚﾓﾆｰ商品ship!A:A,0)),
                                    INDEX([2]NV!D:D,MATCH(A415,[2]NV!C:C,0))
                                )
                            )
                        )
                    )
                )
            )
        )
    )
)</f>
        <v>ﾙﾐｶﾗｲﾄ 大閃光(アーク) ﾊﾟｽﾃﾙﾌﾞﾙｰ浅葱</v>
      </c>
      <c r="C415" s="4" t="s">
        <v>419</v>
      </c>
      <c r="D415" s="10" t="str">
        <f t="shared" si="18"/>
        <v>ﾙﾐｶﾗｲﾄ 大閃光(アーク) ﾊﾟｽﾃﾙﾌﾞﾙｰ浅葱 ｜ 1Fノベルティ【03】 ｜ H-1</v>
      </c>
      <c r="E415" s="11" t="str">
        <f t="shared" si="19"/>
        <v>1Fノベルティ</v>
      </c>
      <c r="F415" s="12" t="s">
        <v>367</v>
      </c>
      <c r="G415" s="11" t="str">
        <f t="shared" si="20"/>
        <v>03・1FノベルティH-1</v>
      </c>
      <c r="H415" s="3"/>
    </row>
    <row r="416" spans="1:8" ht="15" customHeight="1" x14ac:dyDescent="0.2">
      <c r="A416" s="10" t="s">
        <v>421</v>
      </c>
      <c r="B416" s="10" t="str">
        <f>IFERROR(
    INDEX([1]FSHIP!B:B,MATCH(A416,[1]FSHIP!A:A,0)),
    IFERROR(
        INDEX([1]釣具商品ship!B:B,MATCH(A416,[1]釣具商品ship!A:A,0)),
        IFERROR(
            INDEX([1]玩具商品ship!B:B,MATCH(A416,[1]玩具商品ship!A:A,0)),
            IFERROR(
                INDEX([1]OEMship!B:B,MATCH(A416,[1]OEMship!A:A,0)),
                IFERROR(
                    INDEX([1]NV6ship!B:B,MATCH(A416,[1]NV6ship!A:A,0)),
                    IFERROR(
                        INDEX([1]NVship!B:B,MATCH(A416,[1]NVship!A:A,0)),
                        IFERROR(
                            INDEX([1]海ship!B:B,MATCH(A416,[1]海ship!A:A,0)),
                            IFERROR(
                                INDEX([1]ｾﾚship!B:B,MATCH(A416,[1]ｾﾚship!A:A,0)),
                                IFERROR(
                                    INDEX([1]ｾﾚﾓﾆｰ商品ship!B:B,MATCH(A416,[1]ｾﾚﾓﾆｰ商品ship!A:A,0)),
                                    INDEX([2]NV!D:D,MATCH(A416,[2]NV!C:C,0))
                                )
                            )
                        )
                    )
                )
            )
        )
    )
)</f>
        <v>ﾙﾐｶﾗｲﾄ 大閃光(アーク) ﾃﾞｨｰﾌﾟﾌﾞﾙｰ瑠璃</v>
      </c>
      <c r="C416" s="4" t="s">
        <v>419</v>
      </c>
      <c r="D416" s="10" t="str">
        <f t="shared" si="18"/>
        <v>ﾙﾐｶﾗｲﾄ 大閃光(アーク) ﾃﾞｨｰﾌﾟﾌﾞﾙｰ瑠璃 ｜ 1Fノベルティ【03】 ｜ H-1</v>
      </c>
      <c r="E416" s="11" t="str">
        <f t="shared" si="19"/>
        <v>1Fノベルティ</v>
      </c>
      <c r="F416" s="12" t="s">
        <v>367</v>
      </c>
      <c r="G416" s="11" t="str">
        <f t="shared" si="20"/>
        <v>03・1FノベルティH-1</v>
      </c>
      <c r="H416" s="3"/>
    </row>
    <row r="417" spans="1:8" ht="15" customHeight="1" x14ac:dyDescent="0.2">
      <c r="A417" s="10" t="s">
        <v>448</v>
      </c>
      <c r="B417" s="10" t="str">
        <f>IFERROR(
    INDEX([1]FSHIP!B:B,MATCH(A417,[1]FSHIP!A:A,0)),
    IFERROR(
        INDEX([1]釣具商品ship!B:B,MATCH(A417,[1]釣具商品ship!A:A,0)),
        IFERROR(
            INDEX([1]玩具商品ship!B:B,MATCH(A417,[1]玩具商品ship!A:A,0)),
            IFERROR(
                INDEX([1]OEMship!B:B,MATCH(A417,[1]OEMship!A:A,0)),
                IFERROR(
                    INDEX([1]NV6ship!B:B,MATCH(A417,[1]NV6ship!A:A,0)),
                    IFERROR(
                        INDEX([1]NVship!B:B,MATCH(A417,[1]NVship!A:A,0)),
                        IFERROR(
                            INDEX([1]海ship!B:B,MATCH(A417,[1]海ship!A:A,0)),
                            IFERROR(
                                INDEX([1]ｾﾚship!B:B,MATCH(A417,[1]ｾﾚship!A:A,0)),
                                IFERROR(
                                    INDEX([1]ｾﾚﾓﾆｰ商品ship!B:B,MATCH(A417,[1]ｾﾚﾓﾆｰ商品ship!A:A,0)),
                                    INDEX([2]NV!D:D,MATCH(A417,[2]NV!C:C,0))
                                )
                            )
                        )
                    )
                )
            )
        )
    )
)</f>
        <v>業務用大閃光(ｱｰｸ)25 ｸﾞﾘｰﾝ</v>
      </c>
      <c r="C417" s="4" t="s">
        <v>447</v>
      </c>
      <c r="D417" s="10" t="str">
        <f t="shared" si="18"/>
        <v>業務用大閃光(ｱｰｸ)25 ｸﾞﾘｰﾝ ｜ 1Fノベルティ【03】 ｜ E-1</v>
      </c>
      <c r="E417" s="11" t="str">
        <f t="shared" si="19"/>
        <v>1Fノベルティ</v>
      </c>
      <c r="F417" s="12" t="s">
        <v>367</v>
      </c>
      <c r="G417" s="11" t="str">
        <f t="shared" si="20"/>
        <v>03・1FノベルティE-1</v>
      </c>
      <c r="H417" s="3"/>
    </row>
    <row r="418" spans="1:8" ht="15" customHeight="1" x14ac:dyDescent="0.2">
      <c r="A418" s="10" t="s">
        <v>449</v>
      </c>
      <c r="B418" s="10" t="str">
        <f>IFERROR(
    INDEX([1]FSHIP!B:B,MATCH(A418,[1]FSHIP!A:A,0)),
    IFERROR(
        INDEX([1]釣具商品ship!B:B,MATCH(A418,[1]釣具商品ship!A:A,0)),
        IFERROR(
            INDEX([1]玩具商品ship!B:B,MATCH(A418,[1]玩具商品ship!A:A,0)),
            IFERROR(
                INDEX([1]OEMship!B:B,MATCH(A418,[1]OEMship!A:A,0)),
                IFERROR(
                    INDEX([1]NV6ship!B:B,MATCH(A418,[1]NV6ship!A:A,0)),
                    IFERROR(
                        INDEX([1]NVship!B:B,MATCH(A418,[1]NVship!A:A,0)),
                        IFERROR(
                            INDEX([1]海ship!B:B,MATCH(A418,[1]海ship!A:A,0)),
                            IFERROR(
                                INDEX([1]ｾﾚship!B:B,MATCH(A418,[1]ｾﾚship!A:A,0)),
                                IFERROR(
                                    INDEX([1]ｾﾚﾓﾆｰ商品ship!B:B,MATCH(A418,[1]ｾﾚﾓﾆｰ商品ship!A:A,0)),
                                    INDEX([2]NV!D:D,MATCH(A418,[2]NV!C:C,0))
                                )
                            )
                        )
                    )
                )
            )
        )
    )
)</f>
        <v>業務用大閃光(ｱｰｸ)25 ﾌﾞﾙｰ</v>
      </c>
      <c r="C418" s="4" t="s">
        <v>447</v>
      </c>
      <c r="D418" s="10" t="str">
        <f t="shared" si="18"/>
        <v>業務用大閃光(ｱｰｸ)25 ﾌﾞﾙｰ ｜ 1Fノベルティ【03】 ｜ E-1</v>
      </c>
      <c r="E418" s="11" t="str">
        <f t="shared" si="19"/>
        <v>1Fノベルティ</v>
      </c>
      <c r="F418" s="12" t="s">
        <v>367</v>
      </c>
      <c r="G418" s="11" t="str">
        <f t="shared" si="20"/>
        <v>03・1FノベルティE-1</v>
      </c>
      <c r="H418" s="3"/>
    </row>
    <row r="419" spans="1:8" ht="15" customHeight="1" x14ac:dyDescent="0.2">
      <c r="A419" s="10" t="s">
        <v>450</v>
      </c>
      <c r="B419" s="10" t="str">
        <f>IFERROR(
    INDEX([1]FSHIP!B:B,MATCH(A419,[1]FSHIP!A:A,0)),
    IFERROR(
        INDEX([1]釣具商品ship!B:B,MATCH(A419,[1]釣具商品ship!A:A,0)),
        IFERROR(
            INDEX([1]玩具商品ship!B:B,MATCH(A419,[1]玩具商品ship!A:A,0)),
            IFERROR(
                INDEX([1]OEMship!B:B,MATCH(A419,[1]OEMship!A:A,0)),
                IFERROR(
                    INDEX([1]NV6ship!B:B,MATCH(A419,[1]NV6ship!A:A,0)),
                    IFERROR(
                        INDEX([1]NVship!B:B,MATCH(A419,[1]NVship!A:A,0)),
                        IFERROR(
                            INDEX([1]海ship!B:B,MATCH(A419,[1]海ship!A:A,0)),
                            IFERROR(
                                INDEX([1]ｾﾚship!B:B,MATCH(A419,[1]ｾﾚship!A:A,0)),
                                IFERROR(
                                    INDEX([1]ｾﾚﾓﾆｰ商品ship!B:B,MATCH(A419,[1]ｾﾚﾓﾆｰ商品ship!A:A,0)),
                                    INDEX([2]NV!D:D,MATCH(A419,[2]NV!C:C,0))
                                )
                            )
                        )
                    )
                )
            )
        )
    )
)</f>
        <v>業務用大閃光(ｱｰｸ)25 ﾋﾟﾝｸ</v>
      </c>
      <c r="C419" s="4" t="s">
        <v>447</v>
      </c>
      <c r="D419" s="10" t="str">
        <f t="shared" si="18"/>
        <v>業務用大閃光(ｱｰｸ)25 ﾋﾟﾝｸ ｜ 1Fノベルティ【03】 ｜ E-1</v>
      </c>
      <c r="E419" s="11" t="str">
        <f t="shared" si="19"/>
        <v>1Fノベルティ</v>
      </c>
      <c r="F419" s="12" t="s">
        <v>367</v>
      </c>
      <c r="G419" s="11" t="str">
        <f t="shared" si="20"/>
        <v>03・1FノベルティE-1</v>
      </c>
      <c r="H419" s="3"/>
    </row>
    <row r="420" spans="1:8" ht="15" customHeight="1" x14ac:dyDescent="0.2">
      <c r="A420" s="10" t="s">
        <v>479</v>
      </c>
      <c r="B420" s="10" t="str">
        <f>IFERROR(
    INDEX([1]FSHIP!B:B,MATCH(A420,[1]FSHIP!A:A,0)),
    IFERROR(
        INDEX([1]釣具商品ship!B:B,MATCH(A420,[1]釣具商品ship!A:A,0)),
        IFERROR(
            INDEX([1]玩具商品ship!B:B,MATCH(A420,[1]玩具商品ship!A:A,0)),
            IFERROR(
                INDEX([1]OEMship!B:B,MATCH(A420,[1]OEMship!A:A,0)),
                IFERROR(
                    INDEX([1]NV6ship!B:B,MATCH(A420,[1]NV6ship!A:A,0)),
                    IFERROR(
                        INDEX([1]NVship!B:B,MATCH(A420,[1]NVship!A:A,0)),
                        IFERROR(
                            INDEX([1]海ship!B:B,MATCH(A420,[1]海ship!A:A,0)),
                            IFERROR(
                                INDEX([1]ｾﾚship!B:B,MATCH(A420,[1]ｾﾚship!A:A,0)),
                                IFERROR(
                                    INDEX([1]ｾﾚﾓﾆｰ商品ship!B:B,MATCH(A420,[1]ｾﾚﾓﾆｰ商品ship!A:A,0)),
                                    INDEX([2]NV!D:D,MATCH(A420,[2]NV!C:C,0))
                                )
                            )
                        )
                    )
                )
            )
        )
    )
)</f>
        <v>業務用大閃光(ｱｰｸ)25 ｵﾚﾝｼﾞ</v>
      </c>
      <c r="C420" s="4" t="s">
        <v>472</v>
      </c>
      <c r="D420" s="10" t="str">
        <f t="shared" si="18"/>
        <v>業務用大閃光(ｱｰｸ)25 ｵﾚﾝｼﾞ ｜ 資材倉庫・ノベルティ【10】 ｜ A-1</v>
      </c>
      <c r="E420" s="11" t="str">
        <f t="shared" si="19"/>
        <v>資材倉庫・ノベルティ</v>
      </c>
      <c r="F420" s="12" t="s">
        <v>477</v>
      </c>
      <c r="G420" s="11" t="str">
        <f t="shared" si="20"/>
        <v>10・資材倉庫・ノベルティA-1</v>
      </c>
      <c r="H420" s="3"/>
    </row>
    <row r="421" spans="1:8" ht="15" customHeight="1" x14ac:dyDescent="0.2">
      <c r="A421" s="10" t="s">
        <v>451</v>
      </c>
      <c r="B421" s="10" t="str">
        <f>IFERROR(
    INDEX([1]FSHIP!B:B,MATCH(A421,[1]FSHIP!A:A,0)),
    IFERROR(
        INDEX([1]釣具商品ship!B:B,MATCH(A421,[1]釣具商品ship!A:A,0)),
        IFERROR(
            INDEX([1]玩具商品ship!B:B,MATCH(A421,[1]玩具商品ship!A:A,0)),
            IFERROR(
                INDEX([1]OEMship!B:B,MATCH(A421,[1]OEMship!A:A,0)),
                IFERROR(
                    INDEX([1]NV6ship!B:B,MATCH(A421,[1]NV6ship!A:A,0)),
                    IFERROR(
                        INDEX([1]NVship!B:B,MATCH(A421,[1]NVship!A:A,0)),
                        IFERROR(
                            INDEX([1]海ship!B:B,MATCH(A421,[1]海ship!A:A,0)),
                            IFERROR(
                                INDEX([1]ｾﾚship!B:B,MATCH(A421,[1]ｾﾚship!A:A,0)),
                                IFERROR(
                                    INDEX([1]ｾﾚﾓﾆｰ商品ship!B:B,MATCH(A421,[1]ｾﾚﾓﾆｰ商品ship!A:A,0)),
                                    INDEX([2]NV!D:D,MATCH(A421,[2]NV!C:C,0))
                                )
                            )
                        )
                    )
                )
            )
        )
    )
)</f>
        <v>業務用大閃光(ｱｰｸ)25 ｲｴﾛｰ</v>
      </c>
      <c r="C421" s="4" t="s">
        <v>447</v>
      </c>
      <c r="D421" s="10" t="str">
        <f t="shared" si="18"/>
        <v>業務用大閃光(ｱｰｸ)25 ｲｴﾛｰ ｜ 1Fノベルティ【03】 ｜ E-1</v>
      </c>
      <c r="E421" s="11" t="str">
        <f t="shared" si="19"/>
        <v>1Fノベルティ</v>
      </c>
      <c r="F421" s="12" t="s">
        <v>367</v>
      </c>
      <c r="G421" s="11" t="str">
        <f t="shared" si="20"/>
        <v>03・1FノベルティE-1</v>
      </c>
      <c r="H421" s="3"/>
    </row>
    <row r="422" spans="1:8" ht="15" customHeight="1" x14ac:dyDescent="0.2">
      <c r="A422" s="10" t="s">
        <v>452</v>
      </c>
      <c r="B422" s="10" t="str">
        <f>IFERROR(
    INDEX([1]FSHIP!B:B,MATCH(A422,[1]FSHIP!A:A,0)),
    IFERROR(
        INDEX([1]釣具商品ship!B:B,MATCH(A422,[1]釣具商品ship!A:A,0)),
        IFERROR(
            INDEX([1]玩具商品ship!B:B,MATCH(A422,[1]玩具商品ship!A:A,0)),
            IFERROR(
                INDEX([1]OEMship!B:B,MATCH(A422,[1]OEMship!A:A,0)),
                IFERROR(
                    INDEX([1]NV6ship!B:B,MATCH(A422,[1]NV6ship!A:A,0)),
                    IFERROR(
                        INDEX([1]NVship!B:B,MATCH(A422,[1]NVship!A:A,0)),
                        IFERROR(
                            INDEX([1]海ship!B:B,MATCH(A422,[1]海ship!A:A,0)),
                            IFERROR(
                                INDEX([1]ｾﾚship!B:B,MATCH(A422,[1]ｾﾚship!A:A,0)),
                                IFERROR(
                                    INDEX([1]ｾﾚﾓﾆｰ商品ship!B:B,MATCH(A422,[1]ｾﾚﾓﾆｰ商品ship!A:A,0)),
                                    INDEX([2]NV!D:D,MATCH(A422,[2]NV!C:C,0))
                                )
                            )
                        )
                    )
                )
            )
        )
    )
)</f>
        <v>業務用大閃光(ｱｰｸ)25 ﾚｯﾄﾞ</v>
      </c>
      <c r="C422" s="4" t="s">
        <v>447</v>
      </c>
      <c r="D422" s="10" t="str">
        <f t="shared" si="18"/>
        <v>業務用大閃光(ｱｰｸ)25 ﾚｯﾄﾞ ｜ 1Fノベルティ【03】 ｜ E-1</v>
      </c>
      <c r="E422" s="11" t="str">
        <f t="shared" si="19"/>
        <v>1Fノベルティ</v>
      </c>
      <c r="F422" s="12" t="s">
        <v>367</v>
      </c>
      <c r="G422" s="11" t="str">
        <f t="shared" si="20"/>
        <v>03・1FノベルティE-1</v>
      </c>
      <c r="H422" s="3"/>
    </row>
    <row r="423" spans="1:8" ht="15" customHeight="1" x14ac:dyDescent="0.2">
      <c r="A423" s="10" t="s">
        <v>453</v>
      </c>
      <c r="B423" s="10" t="str">
        <f>IFERROR(
    INDEX([1]FSHIP!B:B,MATCH(A423,[1]FSHIP!A:A,0)),
    IFERROR(
        INDEX([1]釣具商品ship!B:B,MATCH(A423,[1]釣具商品ship!A:A,0)),
        IFERROR(
            INDEX([1]玩具商品ship!B:B,MATCH(A423,[1]玩具商品ship!A:A,0)),
            IFERROR(
                INDEX([1]OEMship!B:B,MATCH(A423,[1]OEMship!A:A,0)),
                IFERROR(
                    INDEX([1]NV6ship!B:B,MATCH(A423,[1]NV6ship!A:A,0)),
                    IFERROR(
                        INDEX([1]NVship!B:B,MATCH(A423,[1]NVship!A:A,0)),
                        IFERROR(
                            INDEX([1]海ship!B:B,MATCH(A423,[1]海ship!A:A,0)),
                            IFERROR(
                                INDEX([1]ｾﾚship!B:B,MATCH(A423,[1]ｾﾚship!A:A,0)),
                                IFERROR(
                                    INDEX([1]ｾﾚﾓﾆｰ商品ship!B:B,MATCH(A423,[1]ｾﾚﾓﾆｰ商品ship!A:A,0)),
                                    INDEX([2]NV!D:D,MATCH(A423,[2]NV!C:C,0))
                                )
                            )
                        )
                    )
                )
            )
        )
    )
)</f>
        <v>業務用大閃光(ｱｰｸ)25 ﾎﾜｲﾄ</v>
      </c>
      <c r="C423" s="4" t="s">
        <v>447</v>
      </c>
      <c r="D423" s="10" t="str">
        <f t="shared" si="18"/>
        <v>業務用大閃光(ｱｰｸ)25 ﾎﾜｲﾄ ｜ 1Fノベルティ【03】 ｜ E-1</v>
      </c>
      <c r="E423" s="11" t="str">
        <f t="shared" si="19"/>
        <v>1Fノベルティ</v>
      </c>
      <c r="F423" s="12" t="s">
        <v>367</v>
      </c>
      <c r="G423" s="11" t="str">
        <f t="shared" si="20"/>
        <v>03・1FノベルティE-1</v>
      </c>
      <c r="H423" s="3"/>
    </row>
    <row r="424" spans="1:8" ht="15" customHeight="1" x14ac:dyDescent="0.2">
      <c r="A424" s="10" t="s">
        <v>454</v>
      </c>
      <c r="B424" s="10" t="str">
        <f>IFERROR(
    INDEX([1]FSHIP!B:B,MATCH(A424,[1]FSHIP!A:A,0)),
    IFERROR(
        INDEX([1]釣具商品ship!B:B,MATCH(A424,[1]釣具商品ship!A:A,0)),
        IFERROR(
            INDEX([1]玩具商品ship!B:B,MATCH(A424,[1]玩具商品ship!A:A,0)),
            IFERROR(
                INDEX([1]OEMship!B:B,MATCH(A424,[1]OEMship!A:A,0)),
                IFERROR(
                    INDEX([1]NV6ship!B:B,MATCH(A424,[1]NV6ship!A:A,0)),
                    IFERROR(
                        INDEX([1]NVship!B:B,MATCH(A424,[1]NVship!A:A,0)),
                        IFERROR(
                            INDEX([1]海ship!B:B,MATCH(A424,[1]海ship!A:A,0)),
                            IFERROR(
                                INDEX([1]ｾﾚship!B:B,MATCH(A424,[1]ｾﾚship!A:A,0)),
                                IFERROR(
                                    INDEX([1]ｾﾚﾓﾆｰ商品ship!B:B,MATCH(A424,[1]ｾﾚﾓﾆｰ商品ship!A:A,0)),
                                    INDEX([2]NV!D:D,MATCH(A424,[2]NV!C:C,0))
                                )
                            )
                        )
                    )
                )
            )
        )
    )
)</f>
        <v>業務用大閃光(ｱｰｸ)25 ﾊﾞｲｵﾚｯﾄ</v>
      </c>
      <c r="C424" s="4" t="s">
        <v>447</v>
      </c>
      <c r="D424" s="10" t="str">
        <f t="shared" si="18"/>
        <v>業務用大閃光(ｱｰｸ)25 ﾊﾞｲｵﾚｯﾄ ｜ 1Fノベルティ【03】 ｜ E-1</v>
      </c>
      <c r="E424" s="11" t="str">
        <f t="shared" si="19"/>
        <v>1Fノベルティ</v>
      </c>
      <c r="F424" s="12" t="s">
        <v>367</v>
      </c>
      <c r="G424" s="11" t="str">
        <f t="shared" si="20"/>
        <v>03・1FノベルティE-1</v>
      </c>
      <c r="H424" s="3"/>
    </row>
    <row r="425" spans="1:8" ht="15" customHeight="1" x14ac:dyDescent="0.2">
      <c r="A425" s="10" t="s">
        <v>455</v>
      </c>
      <c r="B425" s="10" t="str">
        <f>IFERROR(
    INDEX([1]FSHIP!B:B,MATCH(A425,[1]FSHIP!A:A,0)),
    IFERROR(
        INDEX([1]釣具商品ship!B:B,MATCH(A425,[1]釣具商品ship!A:A,0)),
        IFERROR(
            INDEX([1]玩具商品ship!B:B,MATCH(A425,[1]玩具商品ship!A:A,0)),
            IFERROR(
                INDEX([1]OEMship!B:B,MATCH(A425,[1]OEMship!A:A,0)),
                IFERROR(
                    INDEX([1]NV6ship!B:B,MATCH(A425,[1]NV6ship!A:A,0)),
                    IFERROR(
                        INDEX([1]NVship!B:B,MATCH(A425,[1]NVship!A:A,0)),
                        IFERROR(
                            INDEX([1]海ship!B:B,MATCH(A425,[1]海ship!A:A,0)),
                            IFERROR(
                                INDEX([1]ｾﾚship!B:B,MATCH(A425,[1]ｾﾚship!A:A,0)),
                                IFERROR(
                                    INDEX([1]ｾﾚﾓﾆｰ商品ship!B:B,MATCH(A425,[1]ｾﾚﾓﾆｰ商品ship!A:A,0)),
                                    INDEX([2]NV!D:D,MATCH(A425,[2]NV!C:C,0))
                                )
                            )
                        )
                    )
                )
            )
        )
    )
)</f>
        <v>業務用大閃光(ｱｰｸ)25 ﾊﾟｽﾃﾙﾌﾞﾙｰ浅葱</v>
      </c>
      <c r="C425" s="4" t="s">
        <v>447</v>
      </c>
      <c r="D425" s="10" t="str">
        <f t="shared" si="18"/>
        <v>業務用大閃光(ｱｰｸ)25 ﾊﾟｽﾃﾙﾌﾞﾙｰ浅葱 ｜ 1Fノベルティ【03】 ｜ E-1</v>
      </c>
      <c r="E425" s="11" t="str">
        <f t="shared" si="19"/>
        <v>1Fノベルティ</v>
      </c>
      <c r="F425" s="12" t="s">
        <v>367</v>
      </c>
      <c r="G425" s="11" t="str">
        <f t="shared" si="20"/>
        <v>03・1FノベルティE-1</v>
      </c>
      <c r="H425" s="3"/>
    </row>
    <row r="426" spans="1:8" ht="15" customHeight="1" x14ac:dyDescent="0.2">
      <c r="A426" s="10" t="s">
        <v>456</v>
      </c>
      <c r="B426" s="10" t="str">
        <f>IFERROR(
    INDEX([1]FSHIP!B:B,MATCH(A426,[1]FSHIP!A:A,0)),
    IFERROR(
        INDEX([1]釣具商品ship!B:B,MATCH(A426,[1]釣具商品ship!A:A,0)),
        IFERROR(
            INDEX([1]玩具商品ship!B:B,MATCH(A426,[1]玩具商品ship!A:A,0)),
            IFERROR(
                INDEX([1]OEMship!B:B,MATCH(A426,[1]OEMship!A:A,0)),
                IFERROR(
                    INDEX([1]NV6ship!B:B,MATCH(A426,[1]NV6ship!A:A,0)),
                    IFERROR(
                        INDEX([1]NVship!B:B,MATCH(A426,[1]NVship!A:A,0)),
                        IFERROR(
                            INDEX([1]海ship!B:B,MATCH(A426,[1]海ship!A:A,0)),
                            IFERROR(
                                INDEX([1]ｾﾚship!B:B,MATCH(A426,[1]ｾﾚship!A:A,0)),
                                IFERROR(
                                    INDEX([1]ｾﾚﾓﾆｰ商品ship!B:B,MATCH(A426,[1]ｾﾚﾓﾆｰ商品ship!A:A,0)),
                                    INDEX([2]NV!D:D,MATCH(A426,[2]NV!C:C,0))
                                )
                            )
                        )
                    )
                )
            )
        )
    )
)</f>
        <v>業務用大閃光(ｱｰｸ)25 ﾃﾞｨｰﾌﾟﾌﾞﾙｰ瑠璃</v>
      </c>
      <c r="C426" s="4" t="s">
        <v>447</v>
      </c>
      <c r="D426" s="10" t="str">
        <f t="shared" si="18"/>
        <v>業務用大閃光(ｱｰｸ)25 ﾃﾞｨｰﾌﾟﾌﾞﾙｰ瑠璃 ｜ 1Fノベルティ【03】 ｜ E-1</v>
      </c>
      <c r="E426" s="11" t="str">
        <f t="shared" si="19"/>
        <v>1Fノベルティ</v>
      </c>
      <c r="F426" s="12" t="s">
        <v>367</v>
      </c>
      <c r="G426" s="11" t="str">
        <f t="shared" si="20"/>
        <v>03・1FノベルティE-1</v>
      </c>
      <c r="H426" s="3"/>
    </row>
    <row r="427" spans="1:8" ht="15" customHeight="1" x14ac:dyDescent="0.2">
      <c r="A427" s="10" t="s">
        <v>480</v>
      </c>
      <c r="B427" s="10" t="str">
        <f>IFERROR(
    INDEX([1]FSHIP!B:B,MATCH(A427,[1]FSHIP!A:A,0)),
    IFERROR(
        INDEX([1]釣具商品ship!B:B,MATCH(A427,[1]釣具商品ship!A:A,0)),
        IFERROR(
            INDEX([1]玩具商品ship!B:B,MATCH(A427,[1]玩具商品ship!A:A,0)),
            IFERROR(
                INDEX([1]OEMship!B:B,MATCH(A427,[1]OEMship!A:A,0)),
                IFERROR(
                    INDEX([1]NV6ship!B:B,MATCH(A427,[1]NV6ship!A:A,0)),
                    IFERROR(
                        INDEX([1]NVship!B:B,MATCH(A427,[1]NVship!A:A,0)),
                        IFERROR(
                            INDEX([1]海ship!B:B,MATCH(A427,[1]海ship!A:A,0)),
                            IFERROR(
                                INDEX([1]ｾﾚship!B:B,MATCH(A427,[1]ｾﾚship!A:A,0)),
                                IFERROR(
                                    INDEX([1]ｾﾚﾓﾆｰ商品ship!B:B,MATCH(A427,[1]ｾﾚﾓﾆｰ商品ship!A:A,0)),
                                    INDEX([2]NV!D:D,MATCH(A427,[2]NV!C:C,0))
                                )
                            )
                        )
                    )
                )
            )
        )
    )
)</f>
        <v>業務用大閃光(ｱｰｸ)25 極 ｵﾚﾝｼﾞ</v>
      </c>
      <c r="C427" s="4" t="s">
        <v>472</v>
      </c>
      <c r="D427" s="10" t="str">
        <f t="shared" si="18"/>
        <v>業務用大閃光(ｱｰｸ)25 極 ｵﾚﾝｼﾞ ｜ 資材倉庫・ノベルティ【10】 ｜ A-1</v>
      </c>
      <c r="E427" s="11" t="str">
        <f t="shared" si="19"/>
        <v>資材倉庫・ノベルティ</v>
      </c>
      <c r="F427" s="12" t="s">
        <v>477</v>
      </c>
      <c r="G427" s="11" t="str">
        <f t="shared" si="20"/>
        <v>10・資材倉庫・ノベルティA-1</v>
      </c>
      <c r="H427" s="3"/>
    </row>
    <row r="428" spans="1:8" ht="15" customHeight="1" x14ac:dyDescent="0.2">
      <c r="A428" s="14" t="s">
        <v>814</v>
      </c>
      <c r="B428" s="10" t="str">
        <f>IFERROR(
    INDEX([1]FSHIP!B:B,MATCH(A428,[1]FSHIP!A:A,0)),
    IFERROR(
        INDEX([1]釣具商品ship!B:B,MATCH(A428,[1]釣具商品ship!A:A,0)),
        IFERROR(
            INDEX([1]玩具商品ship!B:B,MATCH(A428,[1]玩具商品ship!A:A,0)),
            IFERROR(
                INDEX([1]OEMship!B:B,MATCH(A428,[1]OEMship!A:A,0)),
                IFERROR(
                    INDEX([1]NV6ship!B:B,MATCH(A428,[1]NV6ship!A:A,0)),
                    IFERROR(
                        INDEX([1]NVship!B:B,MATCH(A428,[1]NVship!A:A,0)),
                        IFERROR(
                            INDEX([1]海ship!B:B,MATCH(A428,[1]海ship!A:A,0)),
                            IFERROR(
                                INDEX([1]ｾﾚship!B:B,MATCH(A428,[1]ｾﾚship!A:A,0)),
                                IFERROR(
                                    INDEX([1]ｾﾚﾓﾆｰ商品ship!B:B,MATCH(A428,[1]ｾﾚﾓﾆｰ商品ship!A:A,0)),
                                    INDEX([2]NV!D:D,MATCH(A428,[2]NV!C:C,0))
                                )
                            )
                        )
                    )
                )
            )
        )
    )
)</f>
        <v>ﾄﾞﾚｽ色当てｹﾞｰﾑ用ﾙﾐｶﾗｲﾄ10 ｸﾞﾘｰﾝ</v>
      </c>
      <c r="C428" s="16" t="s">
        <v>802</v>
      </c>
      <c r="D428" s="4" t="str">
        <f t="shared" si="18"/>
        <v>ﾄﾞﾚｽ色当てｹﾞｰﾑ用ﾙﾐｶﾗｲﾄ10 ｸﾞﾘｰﾝ ｜ 2F【05】 ｜ A-1</v>
      </c>
      <c r="E428" s="11" t="str">
        <f t="shared" si="19"/>
        <v>2F</v>
      </c>
      <c r="F428" s="12" t="s">
        <v>803</v>
      </c>
      <c r="G428" s="11" t="str">
        <f t="shared" si="20"/>
        <v>05・2FA-1</v>
      </c>
      <c r="H428" s="3"/>
    </row>
    <row r="429" spans="1:8" ht="15" customHeight="1" x14ac:dyDescent="0.2">
      <c r="A429" s="14" t="s">
        <v>815</v>
      </c>
      <c r="B429" s="10" t="str">
        <f>IFERROR(
    INDEX([1]FSHIP!B:B,MATCH(A429,[1]FSHIP!A:A,0)),
    IFERROR(
        INDEX([1]釣具商品ship!B:B,MATCH(A429,[1]釣具商品ship!A:A,0)),
        IFERROR(
            INDEX([1]玩具商品ship!B:B,MATCH(A429,[1]玩具商品ship!A:A,0)),
            IFERROR(
                INDEX([1]OEMship!B:B,MATCH(A429,[1]OEMship!A:A,0)),
                IFERROR(
                    INDEX([1]NV6ship!B:B,MATCH(A429,[1]NV6ship!A:A,0)),
                    IFERROR(
                        INDEX([1]NVship!B:B,MATCH(A429,[1]NVship!A:A,0)),
                        IFERROR(
                            INDEX([1]海ship!B:B,MATCH(A429,[1]海ship!A:A,0)),
                            IFERROR(
                                INDEX([1]ｾﾚship!B:B,MATCH(A429,[1]ｾﾚship!A:A,0)),
                                IFERROR(
                                    INDEX([1]ｾﾚﾓﾆｰ商品ship!B:B,MATCH(A429,[1]ｾﾚﾓﾆｰ商品ship!A:A,0)),
                                    INDEX([2]NV!D:D,MATCH(A429,[2]NV!C:C,0))
                                )
                            )
                        )
                    )
                )
            )
        )
    )
)</f>
        <v>ﾄﾞﾚｽ色当てｹﾞｰﾑ用ﾙﾐｶﾗｲﾄ10 ﾌﾞﾙｰ</v>
      </c>
      <c r="C429" s="16" t="s">
        <v>802</v>
      </c>
      <c r="D429" s="4" t="str">
        <f t="shared" si="18"/>
        <v>ﾄﾞﾚｽ色当てｹﾞｰﾑ用ﾙﾐｶﾗｲﾄ10 ﾌﾞﾙｰ ｜ 2F【05】 ｜ A-1</v>
      </c>
      <c r="E429" s="11" t="str">
        <f t="shared" si="19"/>
        <v>2F</v>
      </c>
      <c r="F429" s="12" t="s">
        <v>803</v>
      </c>
      <c r="G429" s="11" t="str">
        <f t="shared" si="20"/>
        <v>05・2FA-1</v>
      </c>
      <c r="H429" s="3"/>
    </row>
    <row r="430" spans="1:8" ht="15" customHeight="1" x14ac:dyDescent="0.2">
      <c r="A430" s="14" t="s">
        <v>816</v>
      </c>
      <c r="B430" s="10" t="str">
        <f>IFERROR(
    INDEX([1]FSHIP!B:B,MATCH(A430,[1]FSHIP!A:A,0)),
    IFERROR(
        INDEX([1]釣具商品ship!B:B,MATCH(A430,[1]釣具商品ship!A:A,0)),
        IFERROR(
            INDEX([1]玩具商品ship!B:B,MATCH(A430,[1]玩具商品ship!A:A,0)),
            IFERROR(
                INDEX([1]OEMship!B:B,MATCH(A430,[1]OEMship!A:A,0)),
                IFERROR(
                    INDEX([1]NV6ship!B:B,MATCH(A430,[1]NV6ship!A:A,0)),
                    IFERROR(
                        INDEX([1]NVship!B:B,MATCH(A430,[1]NVship!A:A,0)),
                        IFERROR(
                            INDEX([1]海ship!B:B,MATCH(A430,[1]海ship!A:A,0)),
                            IFERROR(
                                INDEX([1]ｾﾚship!B:B,MATCH(A430,[1]ｾﾚship!A:A,0)),
                                IFERROR(
                                    INDEX([1]ｾﾚﾓﾆｰ商品ship!B:B,MATCH(A430,[1]ｾﾚﾓﾆｰ商品ship!A:A,0)),
                                    INDEX([2]NV!D:D,MATCH(A430,[2]NV!C:C,0))
                                )
                            )
                        )
                    )
                )
            )
        )
    )
)</f>
        <v>ﾄﾞﾚｽ色当てｹﾞｰﾑ用ﾙﾐｶﾗｲﾄ10 ﾋﾟﾝｸ</v>
      </c>
      <c r="C430" s="16" t="s">
        <v>802</v>
      </c>
      <c r="D430" s="4" t="str">
        <f t="shared" si="18"/>
        <v>ﾄﾞﾚｽ色当てｹﾞｰﾑ用ﾙﾐｶﾗｲﾄ10 ﾋﾟﾝｸ ｜ 2F【05】 ｜ A-1</v>
      </c>
      <c r="E430" s="11" t="str">
        <f t="shared" si="19"/>
        <v>2F</v>
      </c>
      <c r="F430" s="12" t="s">
        <v>803</v>
      </c>
      <c r="G430" s="11" t="str">
        <f t="shared" si="20"/>
        <v>05・2FA-1</v>
      </c>
      <c r="H430" s="3"/>
    </row>
    <row r="431" spans="1:8" ht="15" customHeight="1" x14ac:dyDescent="0.2">
      <c r="A431" s="14" t="s">
        <v>817</v>
      </c>
      <c r="B431" s="10" t="str">
        <f>IFERROR(
    INDEX([1]FSHIP!B:B,MATCH(A431,[1]FSHIP!A:A,0)),
    IFERROR(
        INDEX([1]釣具商品ship!B:B,MATCH(A431,[1]釣具商品ship!A:A,0)),
        IFERROR(
            INDEX([1]玩具商品ship!B:B,MATCH(A431,[1]玩具商品ship!A:A,0)),
            IFERROR(
                INDEX([1]OEMship!B:B,MATCH(A431,[1]OEMship!A:A,0)),
                IFERROR(
                    INDEX([1]NV6ship!B:B,MATCH(A431,[1]NV6ship!A:A,0)),
                    IFERROR(
                        INDEX([1]NVship!B:B,MATCH(A431,[1]NVship!A:A,0)),
                        IFERROR(
                            INDEX([1]海ship!B:B,MATCH(A431,[1]海ship!A:A,0)),
                            IFERROR(
                                INDEX([1]ｾﾚship!B:B,MATCH(A431,[1]ｾﾚship!A:A,0)),
                                IFERROR(
                                    INDEX([1]ｾﾚﾓﾆｰ商品ship!B:B,MATCH(A431,[1]ｾﾚﾓﾆｰ商品ship!A:A,0)),
                                    INDEX([2]NV!D:D,MATCH(A431,[2]NV!C:C,0))
                                )
                            )
                        )
                    )
                )
            )
        )
    )
)</f>
        <v>ﾄﾞﾚｽ色当てｹﾞｰﾑ用ﾙﾐｶﾗｲﾄ10 ｵﾚﾝｼﾞ</v>
      </c>
      <c r="C431" s="16" t="s">
        <v>802</v>
      </c>
      <c r="D431" s="4" t="str">
        <f t="shared" si="18"/>
        <v>ﾄﾞﾚｽ色当てｹﾞｰﾑ用ﾙﾐｶﾗｲﾄ10 ｵﾚﾝｼﾞ ｜ 2F【05】 ｜ A-1</v>
      </c>
      <c r="E431" s="11" t="str">
        <f t="shared" si="19"/>
        <v>2F</v>
      </c>
      <c r="F431" s="12" t="s">
        <v>803</v>
      </c>
      <c r="G431" s="11" t="str">
        <f t="shared" si="20"/>
        <v>05・2FA-1</v>
      </c>
      <c r="H431" s="3"/>
    </row>
    <row r="432" spans="1:8" ht="15" customHeight="1" x14ac:dyDescent="0.2">
      <c r="A432" s="14" t="s">
        <v>821</v>
      </c>
      <c r="B432" s="10" t="str">
        <f>IFERROR(
    INDEX([1]FSHIP!B:B,MATCH(A432,[1]FSHIP!A:A,0)),
    IFERROR(
        INDEX([1]釣具商品ship!B:B,MATCH(A432,[1]釣具商品ship!A:A,0)),
        IFERROR(
            INDEX([1]玩具商品ship!B:B,MATCH(A432,[1]玩具商品ship!A:A,0)),
            IFERROR(
                INDEX([1]OEMship!B:B,MATCH(A432,[1]OEMship!A:A,0)),
                IFERROR(
                    INDEX([1]NV6ship!B:B,MATCH(A432,[1]NV6ship!A:A,0)),
                    IFERROR(
                        INDEX([1]NVship!B:B,MATCH(A432,[1]NVship!A:A,0)),
                        IFERROR(
                            INDEX([1]海ship!B:B,MATCH(A432,[1]海ship!A:A,0)),
                            IFERROR(
                                INDEX([1]ｾﾚship!B:B,MATCH(A432,[1]ｾﾚship!A:A,0)),
                                IFERROR(
                                    INDEX([1]ｾﾚﾓﾆｰ商品ship!B:B,MATCH(A432,[1]ｾﾚﾓﾆｰ商品ship!A:A,0)),
                                    INDEX([2]NV!D:D,MATCH(A432,[2]NV!C:C,0))
                                )
                            )
                        )
                    )
                )
            )
        )
    )
)</f>
        <v>ﾄﾞﾚｽ色当てｹﾞｰﾑ用ﾙﾐｶﾗｲﾄ10 ｲｴﾛｰ</v>
      </c>
      <c r="C432" s="16" t="s">
        <v>802</v>
      </c>
      <c r="D432" s="4" t="str">
        <f t="shared" si="18"/>
        <v>ﾄﾞﾚｽ色当てｹﾞｰﾑ用ﾙﾐｶﾗｲﾄ10 ｲｴﾛｰ ｜ 2F【05】 ｜ A-1</v>
      </c>
      <c r="E432" s="11" t="str">
        <f t="shared" si="19"/>
        <v>2F</v>
      </c>
      <c r="F432" s="12" t="s">
        <v>803</v>
      </c>
      <c r="G432" s="11" t="str">
        <f t="shared" si="20"/>
        <v>05・2FA-1</v>
      </c>
      <c r="H432" s="3"/>
    </row>
    <row r="433" spans="1:8" ht="15" customHeight="1" x14ac:dyDescent="0.2">
      <c r="A433" s="14" t="s">
        <v>822</v>
      </c>
      <c r="B433" s="10" t="str">
        <f>IFERROR(
    INDEX([1]FSHIP!B:B,MATCH(A433,[1]FSHIP!A:A,0)),
    IFERROR(
        INDEX([1]釣具商品ship!B:B,MATCH(A433,[1]釣具商品ship!A:A,0)),
        IFERROR(
            INDEX([1]玩具商品ship!B:B,MATCH(A433,[1]玩具商品ship!A:A,0)),
            IFERROR(
                INDEX([1]OEMship!B:B,MATCH(A433,[1]OEMship!A:A,0)),
                IFERROR(
                    INDEX([1]NV6ship!B:B,MATCH(A433,[1]NV6ship!A:A,0)),
                    IFERROR(
                        INDEX([1]NVship!B:B,MATCH(A433,[1]NVship!A:A,0)),
                        IFERROR(
                            INDEX([1]海ship!B:B,MATCH(A433,[1]海ship!A:A,0)),
                            IFERROR(
                                INDEX([1]ｾﾚship!B:B,MATCH(A433,[1]ｾﾚship!A:A,0)),
                                IFERROR(
                                    INDEX([1]ｾﾚﾓﾆｰ商品ship!B:B,MATCH(A433,[1]ｾﾚﾓﾆｰ商品ship!A:A,0)),
                                    INDEX([2]NV!D:D,MATCH(A433,[2]NV!C:C,0))
                                )
                            )
                        )
                    )
                )
            )
        )
    )
)</f>
        <v>ﾄﾞﾚｽ色当てｹﾞｰﾑ用ﾙﾐｶﾗｲﾄ10 ﾚｯﾄﾞ</v>
      </c>
      <c r="C433" s="16" t="s">
        <v>802</v>
      </c>
      <c r="D433" s="4" t="str">
        <f t="shared" si="18"/>
        <v>ﾄﾞﾚｽ色当てｹﾞｰﾑ用ﾙﾐｶﾗｲﾄ10 ﾚｯﾄﾞ ｜ 2F【05】 ｜ A-1</v>
      </c>
      <c r="E433" s="11" t="str">
        <f t="shared" si="19"/>
        <v>2F</v>
      </c>
      <c r="F433" s="12" t="s">
        <v>803</v>
      </c>
      <c r="G433" s="11" t="str">
        <f t="shared" si="20"/>
        <v>05・2FA-1</v>
      </c>
      <c r="H433" s="3"/>
    </row>
    <row r="434" spans="1:8" ht="15" customHeight="1" x14ac:dyDescent="0.2">
      <c r="A434" s="14" t="s">
        <v>818</v>
      </c>
      <c r="B434" s="10" t="str">
        <f>IFERROR(
    INDEX([1]FSHIP!B:B,MATCH(A434,[1]FSHIP!A:A,0)),
    IFERROR(
        INDEX([1]釣具商品ship!B:B,MATCH(A434,[1]釣具商品ship!A:A,0)),
        IFERROR(
            INDEX([1]玩具商品ship!B:B,MATCH(A434,[1]玩具商品ship!A:A,0)),
            IFERROR(
                INDEX([1]OEMship!B:B,MATCH(A434,[1]OEMship!A:A,0)),
                IFERROR(
                    INDEX([1]NV6ship!B:B,MATCH(A434,[1]NV6ship!A:A,0)),
                    IFERROR(
                        INDEX([1]NVship!B:B,MATCH(A434,[1]NVship!A:A,0)),
                        IFERROR(
                            INDEX([1]海ship!B:B,MATCH(A434,[1]海ship!A:A,0)),
                            IFERROR(
                                INDEX([1]ｾﾚship!B:B,MATCH(A434,[1]ｾﾚship!A:A,0)),
                                IFERROR(
                                    INDEX([1]ｾﾚﾓﾆｰ商品ship!B:B,MATCH(A434,[1]ｾﾚﾓﾆｰ商品ship!A:A,0)),
                                    INDEX([2]NV!D:D,MATCH(A434,[2]NV!C:C,0))
                                )
                            )
                        )
                    )
                )
            )
        )
    )
)</f>
        <v>ﾄﾞﾚｽ色当てｹﾞｰﾑ用ﾙﾐｶﾗｲﾄ10 ﾊﾞｲｵﾚｯﾄ</v>
      </c>
      <c r="C434" s="16" t="s">
        <v>802</v>
      </c>
      <c r="D434" s="4" t="str">
        <f t="shared" si="18"/>
        <v>ﾄﾞﾚｽ色当てｹﾞｰﾑ用ﾙﾐｶﾗｲﾄ10 ﾊﾞｲｵﾚｯﾄ ｜ 2F【05】 ｜ A-1</v>
      </c>
      <c r="E434" s="11" t="str">
        <f t="shared" si="19"/>
        <v>2F</v>
      </c>
      <c r="F434" s="12" t="s">
        <v>803</v>
      </c>
      <c r="G434" s="11" t="str">
        <f t="shared" si="20"/>
        <v>05・2FA-1</v>
      </c>
      <c r="H434" s="3"/>
    </row>
    <row r="435" spans="1:8" ht="15" customHeight="1" x14ac:dyDescent="0.2">
      <c r="A435" s="14" t="s">
        <v>823</v>
      </c>
      <c r="B435" s="10" t="str">
        <f>IFERROR(
    INDEX([1]FSHIP!B:B,MATCH(A435,[1]FSHIP!A:A,0)),
    IFERROR(
        INDEX([1]釣具商品ship!B:B,MATCH(A435,[1]釣具商品ship!A:A,0)),
        IFERROR(
            INDEX([1]玩具商品ship!B:B,MATCH(A435,[1]玩具商品ship!A:A,0)),
            IFERROR(
                INDEX([1]OEMship!B:B,MATCH(A435,[1]OEMship!A:A,0)),
                IFERROR(
                    INDEX([1]NV6ship!B:B,MATCH(A435,[1]NV6ship!A:A,0)),
                    IFERROR(
                        INDEX([1]NVship!B:B,MATCH(A435,[1]NVship!A:A,0)),
                        IFERROR(
                            INDEX([1]海ship!B:B,MATCH(A435,[1]海ship!A:A,0)),
                            IFERROR(
                                INDEX([1]ｾﾚship!B:B,MATCH(A435,[1]ｾﾚship!A:A,0)),
                                IFERROR(
                                    INDEX([1]ｾﾚﾓﾆｰ商品ship!B:B,MATCH(A435,[1]ｾﾚﾓﾆｰ商品ship!A:A,0)),
                                    INDEX([2]NV!D:D,MATCH(A435,[2]NV!C:C,0))
                                )
                            )
                        )
                    )
                )
            )
        )
    )
)</f>
        <v>ﾄﾞﾚｽ色当てｹﾞｰﾑ用ﾙﾐｶﾗｲﾄ10 ﾎﾜｲﾄ</v>
      </c>
      <c r="C435" s="16" t="s">
        <v>802</v>
      </c>
      <c r="D435" s="4" t="str">
        <f t="shared" si="18"/>
        <v>ﾄﾞﾚｽ色当てｹﾞｰﾑ用ﾙﾐｶﾗｲﾄ10 ﾎﾜｲﾄ ｜ 2F【05】 ｜ A-1</v>
      </c>
      <c r="E435" s="11" t="str">
        <f t="shared" si="19"/>
        <v>2F</v>
      </c>
      <c r="F435" s="12" t="s">
        <v>803</v>
      </c>
      <c r="G435" s="11" t="str">
        <f t="shared" si="20"/>
        <v>05・2FA-1</v>
      </c>
      <c r="H435" s="3"/>
    </row>
    <row r="436" spans="1:8" ht="15" customHeight="1" x14ac:dyDescent="0.2">
      <c r="A436" s="14" t="s">
        <v>793</v>
      </c>
      <c r="B436" s="10" t="str">
        <f>IFERROR(
    INDEX([1]FSHIP!B:B,MATCH(A436,[1]FSHIP!A:A,0)),
    IFERROR(
        INDEX([1]釣具商品ship!B:B,MATCH(A436,[1]釣具商品ship!A:A,0)),
        IFERROR(
            INDEX([1]玩具商品ship!B:B,MATCH(A436,[1]玩具商品ship!A:A,0)),
            IFERROR(
                INDEX([1]OEMship!B:B,MATCH(A436,[1]OEMship!A:A,0)),
                IFERROR(
                    INDEX([1]NV6ship!B:B,MATCH(A436,[1]NV6ship!A:A,0)),
                    IFERROR(
                        INDEX([1]NVship!B:B,MATCH(A436,[1]NVship!A:A,0)),
                        IFERROR(
                            INDEX([1]海ship!B:B,MATCH(A436,[1]海ship!A:A,0)),
                            IFERROR(
                                INDEX([1]ｾﾚship!B:B,MATCH(A436,[1]ｾﾚship!A:A,0)),
                                IFERROR(
                                    INDEX([1]ｾﾚﾓﾆｰ商品ship!B:B,MATCH(A436,[1]ｾﾚﾓﾆｰ商品ship!A:A,0)),
                                    INDEX([2]NV!D:D,MATCH(A436,[2]NV!C:C,0))
                                )
                            )
                        )
                    )
                )
            )
        )
    )
)</f>
        <v>Lumi Ace専用フィルム ブルー</v>
      </c>
      <c r="C436" s="16" t="s">
        <v>799</v>
      </c>
      <c r="D436" s="4" t="str">
        <f t="shared" si="18"/>
        <v>Lumi Ace専用フィルム ブルー ｜ 資材倉庫・2F【X99】 ｜ 2F</v>
      </c>
      <c r="E436" s="11" t="str">
        <f t="shared" si="19"/>
        <v>資材倉庫・2F</v>
      </c>
      <c r="F436" s="12" t="s">
        <v>748</v>
      </c>
      <c r="G436" s="11" t="str">
        <f t="shared" si="20"/>
        <v>X99・資材倉庫・2F2F</v>
      </c>
      <c r="H436" s="3"/>
    </row>
    <row r="437" spans="1:8" ht="15" customHeight="1" x14ac:dyDescent="0.2">
      <c r="A437" s="14" t="s">
        <v>794</v>
      </c>
      <c r="B437" s="10" t="str">
        <f>IFERROR(
    INDEX([1]FSHIP!B:B,MATCH(A437,[1]FSHIP!A:A,0)),
    IFERROR(
        INDEX([1]釣具商品ship!B:B,MATCH(A437,[1]釣具商品ship!A:A,0)),
        IFERROR(
            INDEX([1]玩具商品ship!B:B,MATCH(A437,[1]玩具商品ship!A:A,0)),
            IFERROR(
                INDEX([1]OEMship!B:B,MATCH(A437,[1]OEMship!A:A,0)),
                IFERROR(
                    INDEX([1]NV6ship!B:B,MATCH(A437,[1]NV6ship!A:A,0)),
                    IFERROR(
                        INDEX([1]NVship!B:B,MATCH(A437,[1]NVship!A:A,0)),
                        IFERROR(
                            INDEX([1]海ship!B:B,MATCH(A437,[1]海ship!A:A,0)),
                            IFERROR(
                                INDEX([1]ｾﾚship!B:B,MATCH(A437,[1]ｾﾚship!A:A,0)),
                                IFERROR(
                                    INDEX([1]ｾﾚﾓﾆｰ商品ship!B:B,MATCH(A437,[1]ｾﾚﾓﾆｰ商品ship!A:A,0)),
                                    INDEX([2]NV!D:D,MATCH(A437,[2]NV!C:C,0))
                                )
                            )
                        )
                    )
                )
            )
        )
    )
)</f>
        <v>Lumi Ace専用フィルム イエロー</v>
      </c>
      <c r="C437" s="16" t="s">
        <v>799</v>
      </c>
      <c r="D437" s="4" t="str">
        <f t="shared" si="18"/>
        <v>Lumi Ace専用フィルム イエロー ｜ 資材倉庫・2F【X99】 ｜ 2F</v>
      </c>
      <c r="E437" s="11" t="str">
        <f t="shared" si="19"/>
        <v>資材倉庫・2F</v>
      </c>
      <c r="F437" s="12" t="s">
        <v>748</v>
      </c>
      <c r="G437" s="11" t="str">
        <f t="shared" si="20"/>
        <v>X99・資材倉庫・2F2F</v>
      </c>
      <c r="H437" s="3"/>
    </row>
    <row r="438" spans="1:8" ht="15" customHeight="1" x14ac:dyDescent="0.2">
      <c r="A438" s="14" t="s">
        <v>795</v>
      </c>
      <c r="B438" s="10" t="str">
        <f>IFERROR(
    INDEX([1]FSHIP!B:B,MATCH(A438,[1]FSHIP!A:A,0)),
    IFERROR(
        INDEX([1]釣具商品ship!B:B,MATCH(A438,[1]釣具商品ship!A:A,0)),
        IFERROR(
            INDEX([1]玩具商品ship!B:B,MATCH(A438,[1]玩具商品ship!A:A,0)),
            IFERROR(
                INDEX([1]OEMship!B:B,MATCH(A438,[1]OEMship!A:A,0)),
                IFERROR(
                    INDEX([1]NV6ship!B:B,MATCH(A438,[1]NV6ship!A:A,0)),
                    IFERROR(
                        INDEX([1]NVship!B:B,MATCH(A438,[1]NVship!A:A,0)),
                        IFERROR(
                            INDEX([1]海ship!B:B,MATCH(A438,[1]海ship!A:A,0)),
                            IFERROR(
                                INDEX([1]ｾﾚship!B:B,MATCH(A438,[1]ｾﾚship!A:A,0)),
                                IFERROR(
                                    INDEX([1]ｾﾚﾓﾆｰ商品ship!B:B,MATCH(A438,[1]ｾﾚﾓﾆｰ商品ship!A:A,0)),
                                    INDEX([2]NV!D:D,MATCH(A438,[2]NV!C:C,0))
                                )
                            )
                        )
                    )
                )
            )
        )
    )
)</f>
        <v>Lumi Tube2 マット</v>
      </c>
      <c r="C438" s="16" t="s">
        <v>799</v>
      </c>
      <c r="D438" s="4" t="str">
        <f t="shared" si="18"/>
        <v>Lumi Tube2 マット ｜ 資材倉庫・2F【X99】 ｜ 2F</v>
      </c>
      <c r="E438" s="11" t="str">
        <f t="shared" si="19"/>
        <v>資材倉庫・2F</v>
      </c>
      <c r="F438" s="12" t="s">
        <v>748</v>
      </c>
      <c r="G438" s="11" t="str">
        <f t="shared" si="20"/>
        <v>X99・資材倉庫・2F2F</v>
      </c>
      <c r="H438" s="3"/>
    </row>
    <row r="439" spans="1:8" ht="15" customHeight="1" x14ac:dyDescent="0.2">
      <c r="A439" s="10" t="s">
        <v>400</v>
      </c>
      <c r="B439" s="10" t="str">
        <f>IFERROR(
    INDEX([1]FSHIP!B:B,MATCH(A439,[1]FSHIP!A:A,0)),
    IFERROR(
        INDEX([1]釣具商品ship!B:B,MATCH(A439,[1]釣具商品ship!A:A,0)),
        IFERROR(
            INDEX([1]玩具商品ship!B:B,MATCH(A439,[1]玩具商品ship!A:A,0)),
            IFERROR(
                INDEX([1]OEMship!B:B,MATCH(A439,[1]OEMship!A:A,0)),
                IFERROR(
                    INDEX([1]NV6ship!B:B,MATCH(A439,[1]NV6ship!A:A,0)),
                    IFERROR(
                        INDEX([1]NVship!B:B,MATCH(A439,[1]NVship!A:A,0)),
                        IFERROR(
                            INDEX([1]海ship!B:B,MATCH(A439,[1]海ship!A:A,0)),
                            IFERROR(
                                INDEX([1]ｾﾚship!B:B,MATCH(A439,[1]ｾﾚship!A:A,0)),
                                IFERROR(
                                    INDEX([1]ｾﾚﾓﾆｰ商品ship!B:B,MATCH(A439,[1]ｾﾚﾓﾆｰ商品ship!A:A,0)),
                                    INDEX([2]NV!D:D,MATCH(A439,[2]NV!C:C,0))
                                )
                            )
                        )
                    )
                )
            )
        )
    )
)</f>
        <v>ﾙﾐｶﾗｲﾄ ﾐﾘﾀﾘｰ1.5ｲﾝﾁ5本ｾｯﾄ ｸﾞﾘｰﾝ</v>
      </c>
      <c r="C439" s="4" t="s">
        <v>463</v>
      </c>
      <c r="D439" s="10" t="str">
        <f t="shared" si="18"/>
        <v>ﾙﾐｶﾗｲﾄ ﾐﾘﾀﾘｰ1.5ｲﾝﾁ5本ｾｯﾄ ｸﾞﾘｰﾝ ｜ 1Fノベルティ【03】 ｜ C-1</v>
      </c>
      <c r="E439" s="11" t="str">
        <f t="shared" si="19"/>
        <v>1Fノベルティ</v>
      </c>
      <c r="F439" s="12" t="s">
        <v>367</v>
      </c>
      <c r="G439" s="11" t="str">
        <f t="shared" si="20"/>
        <v>03・1FノベルティC-1</v>
      </c>
      <c r="H439" s="3"/>
    </row>
    <row r="440" spans="1:8" ht="15" customHeight="1" x14ac:dyDescent="0.2">
      <c r="A440" s="10" t="s">
        <v>401</v>
      </c>
      <c r="B440" s="10" t="str">
        <f>IFERROR(
    INDEX([1]FSHIP!B:B,MATCH(A440,[1]FSHIP!A:A,0)),
    IFERROR(
        INDEX([1]釣具商品ship!B:B,MATCH(A440,[1]釣具商品ship!A:A,0)),
        IFERROR(
            INDEX([1]玩具商品ship!B:B,MATCH(A440,[1]玩具商品ship!A:A,0)),
            IFERROR(
                INDEX([1]OEMship!B:B,MATCH(A440,[1]OEMship!A:A,0)),
                IFERROR(
                    INDEX([1]NV6ship!B:B,MATCH(A440,[1]NV6ship!A:A,0)),
                    IFERROR(
                        INDEX([1]NVship!B:B,MATCH(A440,[1]NVship!A:A,0)),
                        IFERROR(
                            INDEX([1]海ship!B:B,MATCH(A440,[1]海ship!A:A,0)),
                            IFERROR(
                                INDEX([1]ｾﾚship!B:B,MATCH(A440,[1]ｾﾚship!A:A,0)),
                                IFERROR(
                                    INDEX([1]ｾﾚﾓﾆｰ商品ship!B:B,MATCH(A440,[1]ｾﾚﾓﾆｰ商品ship!A:A,0)),
                                    INDEX([2]NV!D:D,MATCH(A440,[2]NV!C:C,0))
                                )
                            )
                        )
                    )
                )
            )
        )
    )
)</f>
        <v>ﾙﾐｶﾗｲﾄ ﾐﾘﾀﾘｰ1.5ｲﾝﾁ5本ｾｯﾄ ﾚｯﾄﾞ</v>
      </c>
      <c r="C440" s="4" t="s">
        <v>463</v>
      </c>
      <c r="D440" s="10" t="str">
        <f t="shared" si="18"/>
        <v>ﾙﾐｶﾗｲﾄ ﾐﾘﾀﾘｰ1.5ｲﾝﾁ5本ｾｯﾄ ﾚｯﾄﾞ ｜ 1Fノベルティ【03】 ｜ C-1</v>
      </c>
      <c r="E440" s="11" t="str">
        <f t="shared" si="19"/>
        <v>1Fノベルティ</v>
      </c>
      <c r="F440" s="12" t="s">
        <v>367</v>
      </c>
      <c r="G440" s="11" t="str">
        <f t="shared" si="20"/>
        <v>03・1FノベルティC-1</v>
      </c>
      <c r="H440" s="3"/>
    </row>
    <row r="441" spans="1:8" ht="15" customHeight="1" x14ac:dyDescent="0.2">
      <c r="A441" s="10" t="s">
        <v>402</v>
      </c>
      <c r="B441" s="10" t="str">
        <f>IFERROR(
    INDEX([1]FSHIP!B:B,MATCH(A441,[1]FSHIP!A:A,0)),
    IFERROR(
        INDEX([1]釣具商品ship!B:B,MATCH(A441,[1]釣具商品ship!A:A,0)),
        IFERROR(
            INDEX([1]玩具商品ship!B:B,MATCH(A441,[1]玩具商品ship!A:A,0)),
            IFERROR(
                INDEX([1]OEMship!B:B,MATCH(A441,[1]OEMship!A:A,0)),
                IFERROR(
                    INDEX([1]NV6ship!B:B,MATCH(A441,[1]NV6ship!A:A,0)),
                    IFERROR(
                        INDEX([1]NVship!B:B,MATCH(A441,[1]NVship!A:A,0)),
                        IFERROR(
                            INDEX([1]海ship!B:B,MATCH(A441,[1]海ship!A:A,0)),
                            IFERROR(
                                INDEX([1]ｾﾚship!B:B,MATCH(A441,[1]ｾﾚship!A:A,0)),
                                IFERROR(
                                    INDEX([1]ｾﾚﾓﾆｰ商品ship!B:B,MATCH(A441,[1]ｾﾚﾓﾆｰ商品ship!A:A,0)),
                                    INDEX([2]NV!D:D,MATCH(A441,[2]NV!C:C,0))
                                )
                            )
                        )
                    )
                )
            )
        )
    )
)</f>
        <v>ﾙﾐｶﾗｲﾄ ﾐﾘﾀﾘｰ2ｲﾝﾁ5本ｾｯﾄ ｸﾞﾘｰﾝ</v>
      </c>
      <c r="C441" s="4" t="s">
        <v>463</v>
      </c>
      <c r="D441" s="10" t="str">
        <f t="shared" si="18"/>
        <v>ﾙﾐｶﾗｲﾄ ﾐﾘﾀﾘｰ2ｲﾝﾁ5本ｾｯﾄ ｸﾞﾘｰﾝ ｜ 1Fノベルティ【03】 ｜ C-1</v>
      </c>
      <c r="E441" s="11" t="str">
        <f t="shared" si="19"/>
        <v>1Fノベルティ</v>
      </c>
      <c r="F441" s="12" t="s">
        <v>367</v>
      </c>
      <c r="G441" s="11" t="str">
        <f t="shared" si="20"/>
        <v>03・1FノベルティC-1</v>
      </c>
      <c r="H441" s="3"/>
    </row>
    <row r="442" spans="1:8" ht="15" customHeight="1" x14ac:dyDescent="0.2">
      <c r="A442" s="10" t="s">
        <v>403</v>
      </c>
      <c r="B442" s="10" t="str">
        <f>IFERROR(
    INDEX([1]FSHIP!B:B,MATCH(A442,[1]FSHIP!A:A,0)),
    IFERROR(
        INDEX([1]釣具商品ship!B:B,MATCH(A442,[1]釣具商品ship!A:A,0)),
        IFERROR(
            INDEX([1]玩具商品ship!B:B,MATCH(A442,[1]玩具商品ship!A:A,0)),
            IFERROR(
                INDEX([1]OEMship!B:B,MATCH(A442,[1]OEMship!A:A,0)),
                IFERROR(
                    INDEX([1]NV6ship!B:B,MATCH(A442,[1]NV6ship!A:A,0)),
                    IFERROR(
                        INDEX([1]NVship!B:B,MATCH(A442,[1]NVship!A:A,0)),
                        IFERROR(
                            INDEX([1]海ship!B:B,MATCH(A442,[1]海ship!A:A,0)),
                            IFERROR(
                                INDEX([1]ｾﾚship!B:B,MATCH(A442,[1]ｾﾚship!A:A,0)),
                                IFERROR(
                                    INDEX([1]ｾﾚﾓﾆｰ商品ship!B:B,MATCH(A442,[1]ｾﾚﾓﾆｰ商品ship!A:A,0)),
                                    INDEX([2]NV!D:D,MATCH(A442,[2]NV!C:C,0))
                                )
                            )
                        )
                    )
                )
            )
        )
    )
)</f>
        <v>ﾙﾐｶﾗｲﾄ ﾐﾘﾀﾘｰ2ｲﾝﾁ5本ｾｯﾄ ﾚｯﾄﾞ</v>
      </c>
      <c r="C442" s="4" t="s">
        <v>463</v>
      </c>
      <c r="D442" s="10" t="str">
        <f t="shared" si="18"/>
        <v>ﾙﾐｶﾗｲﾄ ﾐﾘﾀﾘｰ2ｲﾝﾁ5本ｾｯﾄ ﾚｯﾄﾞ ｜ 1Fノベルティ【03】 ｜ C-1</v>
      </c>
      <c r="E442" s="11" t="str">
        <f t="shared" si="19"/>
        <v>1Fノベルティ</v>
      </c>
      <c r="F442" s="12" t="s">
        <v>367</v>
      </c>
      <c r="G442" s="11" t="str">
        <f t="shared" si="20"/>
        <v>03・1FノベルティC-1</v>
      </c>
      <c r="H442" s="3"/>
    </row>
    <row r="443" spans="1:8" ht="15" customHeight="1" x14ac:dyDescent="0.2">
      <c r="A443" s="10" t="s">
        <v>404</v>
      </c>
      <c r="B443" s="10" t="str">
        <f>IFERROR(
    INDEX([1]FSHIP!B:B,MATCH(A443,[1]FSHIP!A:A,0)),
    IFERROR(
        INDEX([1]釣具商品ship!B:B,MATCH(A443,[1]釣具商品ship!A:A,0)),
        IFERROR(
            INDEX([1]玩具商品ship!B:B,MATCH(A443,[1]玩具商品ship!A:A,0)),
            IFERROR(
                INDEX([1]OEMship!B:B,MATCH(A443,[1]OEMship!A:A,0)),
                IFERROR(
                    INDEX([1]NV6ship!B:B,MATCH(A443,[1]NV6ship!A:A,0)),
                    IFERROR(
                        INDEX([1]NVship!B:B,MATCH(A443,[1]NVship!A:A,0)),
                        IFERROR(
                            INDEX([1]海ship!B:B,MATCH(A443,[1]海ship!A:A,0)),
                            IFERROR(
                                INDEX([1]ｾﾚship!B:B,MATCH(A443,[1]ｾﾚship!A:A,0)),
                                IFERROR(
                                    INDEX([1]ｾﾚﾓﾆｰ商品ship!B:B,MATCH(A443,[1]ｾﾚﾓﾆｰ商品ship!A:A,0)),
                                    INDEX([2]NV!D:D,MATCH(A443,[2]NV!C:C,0))
                                )
                            )
                        )
                    )
                )
            )
        )
    )
)</f>
        <v>3インチ5本セット　グリーン</v>
      </c>
      <c r="C443" s="4" t="s">
        <v>463</v>
      </c>
      <c r="D443" s="10" t="str">
        <f t="shared" si="18"/>
        <v>3インチ5本セット　グリーン ｜ 1Fノベルティ【03】 ｜ C-1</v>
      </c>
      <c r="E443" s="11" t="str">
        <f t="shared" si="19"/>
        <v>1Fノベルティ</v>
      </c>
      <c r="F443" s="12" t="s">
        <v>367</v>
      </c>
      <c r="G443" s="11" t="str">
        <f t="shared" si="20"/>
        <v>03・1FノベルティC-1</v>
      </c>
      <c r="H443" s="3"/>
    </row>
    <row r="444" spans="1:8" ht="15" customHeight="1" x14ac:dyDescent="0.2">
      <c r="A444" s="14" t="s">
        <v>719</v>
      </c>
      <c r="B444" s="10" t="str">
        <f>IFERROR(
    INDEX([1]FSHIP!B:B,MATCH(A444,[1]FSHIP!A:A,0)),
    IFERROR(
        INDEX([1]釣具商品ship!B:B,MATCH(A444,[1]釣具商品ship!A:A,0)),
        IFERROR(
            INDEX([1]玩具商品ship!B:B,MATCH(A444,[1]玩具商品ship!A:A,0)),
            IFERROR(
                INDEX([1]OEMship!B:B,MATCH(A444,[1]OEMship!A:A,0)),
                IFERROR(
                    INDEX([1]NV6ship!B:B,MATCH(A444,[1]NV6ship!A:A,0)),
                    IFERROR(
                        INDEX([1]NVship!B:B,MATCH(A444,[1]NVship!A:A,0)),
                        IFERROR(
                            INDEX([1]海ship!B:B,MATCH(A444,[1]海ship!A:A,0)),
                            IFERROR(
                                INDEX([1]ｾﾚship!B:B,MATCH(A444,[1]ｾﾚship!A:A,0)),
                                IFERROR(
                                    INDEX([1]ｾﾚﾓﾆｰ商品ship!B:B,MATCH(A444,[1]ｾﾚﾓﾆｰ商品ship!A:A,0)),
                                    INDEX([2]NV!D:D,MATCH(A444,[2]NV!C:C,0))
                                )
                            )
                        )
                    )
                )
            )
        )
    )
)</f>
        <v>業務用　３インチ　GREEN</v>
      </c>
      <c r="C444" s="16" t="s">
        <v>472</v>
      </c>
      <c r="D444" s="4" t="str">
        <f t="shared" si="18"/>
        <v>業務用　３インチ　GREEN ｜ テント倉庫【01】 ｜ A-1</v>
      </c>
      <c r="E444" s="11" t="str">
        <f t="shared" si="19"/>
        <v>テント倉庫</v>
      </c>
      <c r="F444" s="12" t="s">
        <v>721</v>
      </c>
      <c r="G444" s="11" t="str">
        <f t="shared" si="20"/>
        <v>01・テント倉庫A-1</v>
      </c>
      <c r="H444" s="3"/>
    </row>
    <row r="445" spans="1:8" ht="15" customHeight="1" x14ac:dyDescent="0.2">
      <c r="A445" s="10" t="s">
        <v>386</v>
      </c>
      <c r="B445" s="10" t="str">
        <f>IFERROR(
    INDEX([1]FSHIP!B:B,MATCH(A445,[1]FSHIP!A:A,0)),
    IFERROR(
        INDEX([1]釣具商品ship!B:B,MATCH(A445,[1]釣具商品ship!A:A,0)),
        IFERROR(
            INDEX([1]玩具商品ship!B:B,MATCH(A445,[1]玩具商品ship!A:A,0)),
            IFERROR(
                INDEX([1]OEMship!B:B,MATCH(A445,[1]OEMship!A:A,0)),
                IFERROR(
                    INDEX([1]NV6ship!B:B,MATCH(A445,[1]NV6ship!A:A,0)),
                    IFERROR(
                        INDEX([1]NVship!B:B,MATCH(A445,[1]NVship!A:A,0)),
                        IFERROR(
                            INDEX([1]海ship!B:B,MATCH(A445,[1]海ship!A:A,0)),
                            IFERROR(
                                INDEX([1]ｾﾚship!B:B,MATCH(A445,[1]ｾﾚship!A:A,0)),
                                IFERROR(
                                    INDEX([1]ｾﾚﾓﾆｰ商品ship!B:B,MATCH(A445,[1]ｾﾚﾓﾆｰ商品ship!A:A,0)),
                                    INDEX([2]NV!D:D,MATCH(A445,[2]NV!C:C,0))
                                )
                            )
                        )
                    )
                )
            )
        )
    )
)</f>
        <v>ﾙﾐｶﾗｲﾄ ﾒｶﾞ大閃光ORANGE</v>
      </c>
      <c r="C445" s="4" t="s">
        <v>382</v>
      </c>
      <c r="D445" s="10" t="str">
        <f t="shared" si="18"/>
        <v>ﾙﾐｶﾗｲﾄ ﾒｶﾞ大閃光ORANGE ｜ 1Fノベルティ【03】 ｜ N-1</v>
      </c>
      <c r="E445" s="11" t="str">
        <f t="shared" si="19"/>
        <v>1Fノベルティ</v>
      </c>
      <c r="F445" s="12" t="s">
        <v>367</v>
      </c>
      <c r="G445" s="11" t="str">
        <f t="shared" si="20"/>
        <v>03・1FノベルティN-1</v>
      </c>
      <c r="H445" s="3"/>
    </row>
    <row r="446" spans="1:8" ht="15" customHeight="1" x14ac:dyDescent="0.2">
      <c r="A446" s="10" t="s">
        <v>383</v>
      </c>
      <c r="B446" s="10" t="str">
        <f>IFERROR(
    INDEX([1]FSHIP!B:B,MATCH(A446,[1]FSHIP!A:A,0)),
    IFERROR(
        INDEX([1]釣具商品ship!B:B,MATCH(A446,[1]釣具商品ship!A:A,0)),
        IFERROR(
            INDEX([1]玩具商品ship!B:B,MATCH(A446,[1]玩具商品ship!A:A,0)),
            IFERROR(
                INDEX([1]OEMship!B:B,MATCH(A446,[1]OEMship!A:A,0)),
                IFERROR(
                    INDEX([1]NV6ship!B:B,MATCH(A446,[1]NV6ship!A:A,0)),
                    IFERROR(
                        INDEX([1]NVship!B:B,MATCH(A446,[1]NVship!A:A,0)),
                        IFERROR(
                            INDEX([1]海ship!B:B,MATCH(A446,[1]海ship!A:A,0)),
                            IFERROR(
                                INDEX([1]ｾﾚship!B:B,MATCH(A446,[1]ｾﾚship!A:A,0)),
                                IFERROR(
                                    INDEX([1]ｾﾚﾓﾆｰ商品ship!B:B,MATCH(A446,[1]ｾﾚﾓﾆｰ商品ship!A:A,0)),
                                    INDEX([2]NV!D:D,MATCH(A446,[2]NV!C:C,0))
                                )
                            )
                        )
                    )
                )
            )
        )
    )
)</f>
        <v>ﾙﾐｶﾗｲﾄ メガ大閃光GREEN</v>
      </c>
      <c r="C446" s="4" t="s">
        <v>382</v>
      </c>
      <c r="D446" s="10" t="str">
        <f t="shared" si="18"/>
        <v>ﾙﾐｶﾗｲﾄ メガ大閃光GREEN ｜ 1Fノベルティ【03】 ｜ N-1</v>
      </c>
      <c r="E446" s="11" t="str">
        <f t="shared" si="19"/>
        <v>1Fノベルティ</v>
      </c>
      <c r="F446" s="12" t="s">
        <v>367</v>
      </c>
      <c r="G446" s="11" t="str">
        <f t="shared" si="20"/>
        <v>03・1FノベルティN-1</v>
      </c>
      <c r="H446" s="3"/>
    </row>
    <row r="447" spans="1:8" ht="15" customHeight="1" x14ac:dyDescent="0.2">
      <c r="A447" s="10" t="s">
        <v>384</v>
      </c>
      <c r="B447" s="10" t="str">
        <f>IFERROR(
    INDEX([1]FSHIP!B:B,MATCH(A447,[1]FSHIP!A:A,0)),
    IFERROR(
        INDEX([1]釣具商品ship!B:B,MATCH(A447,[1]釣具商品ship!A:A,0)),
        IFERROR(
            INDEX([1]玩具商品ship!B:B,MATCH(A447,[1]玩具商品ship!A:A,0)),
            IFERROR(
                INDEX([1]OEMship!B:B,MATCH(A447,[1]OEMship!A:A,0)),
                IFERROR(
                    INDEX([1]NV6ship!B:B,MATCH(A447,[1]NV6ship!A:A,0)),
                    IFERROR(
                        INDEX([1]NVship!B:B,MATCH(A447,[1]NVship!A:A,0)),
                        IFERROR(
                            INDEX([1]海ship!B:B,MATCH(A447,[1]海ship!A:A,0)),
                            IFERROR(
                                INDEX([1]ｾﾚship!B:B,MATCH(A447,[1]ｾﾚship!A:A,0)),
                                IFERROR(
                                    INDEX([1]ｾﾚﾓﾆｰ商品ship!B:B,MATCH(A447,[1]ｾﾚﾓﾆｰ商品ship!A:A,0)),
                                    INDEX([2]NV!D:D,MATCH(A447,[2]NV!C:C,0))
                                )
                            )
                        )
                    )
                )
            )
        )
    )
)</f>
        <v>ﾙﾐｶﾗｲﾄ メガ大閃光BLUE</v>
      </c>
      <c r="C447" s="4" t="s">
        <v>382</v>
      </c>
      <c r="D447" s="10" t="str">
        <f t="shared" si="18"/>
        <v>ﾙﾐｶﾗｲﾄ メガ大閃光BLUE ｜ 1Fノベルティ【03】 ｜ N-1</v>
      </c>
      <c r="E447" s="11" t="str">
        <f t="shared" si="19"/>
        <v>1Fノベルティ</v>
      </c>
      <c r="F447" s="12" t="s">
        <v>367</v>
      </c>
      <c r="G447" s="11" t="str">
        <f t="shared" si="20"/>
        <v>03・1FノベルティN-1</v>
      </c>
      <c r="H447" s="3"/>
    </row>
    <row r="448" spans="1:8" ht="15" customHeight="1" x14ac:dyDescent="0.2">
      <c r="A448" s="10" t="s">
        <v>385</v>
      </c>
      <c r="B448" s="10" t="str">
        <f>IFERROR(
    INDEX([1]FSHIP!B:B,MATCH(A448,[1]FSHIP!A:A,0)),
    IFERROR(
        INDEX([1]釣具商品ship!B:B,MATCH(A448,[1]釣具商品ship!A:A,0)),
        IFERROR(
            INDEX([1]玩具商品ship!B:B,MATCH(A448,[1]玩具商品ship!A:A,0)),
            IFERROR(
                INDEX([1]OEMship!B:B,MATCH(A448,[1]OEMship!A:A,0)),
                IFERROR(
                    INDEX([1]NV6ship!B:B,MATCH(A448,[1]NV6ship!A:A,0)),
                    IFERROR(
                        INDEX([1]NVship!B:B,MATCH(A448,[1]NVship!A:A,0)),
                        IFERROR(
                            INDEX([1]海ship!B:B,MATCH(A448,[1]海ship!A:A,0)),
                            IFERROR(
                                INDEX([1]ｾﾚship!B:B,MATCH(A448,[1]ｾﾚship!A:A,0)),
                                IFERROR(
                                    INDEX([1]ｾﾚﾓﾆｰ商品ship!B:B,MATCH(A448,[1]ｾﾚﾓﾆｰ商品ship!A:A,0)),
                                    INDEX([2]NV!D:D,MATCH(A448,[2]NV!C:C,0))
                                )
                            )
                        )
                    )
                )
            )
        )
    )
)</f>
        <v>ﾙﾐｶﾗｲﾄ メガ大閃光PINK</v>
      </c>
      <c r="C448" s="4" t="s">
        <v>382</v>
      </c>
      <c r="D448" s="10" t="str">
        <f t="shared" si="18"/>
        <v>ﾙﾐｶﾗｲﾄ メガ大閃光PINK ｜ 1Fノベルティ【03】 ｜ N-1</v>
      </c>
      <c r="E448" s="11" t="str">
        <f t="shared" si="19"/>
        <v>1Fノベルティ</v>
      </c>
      <c r="F448" s="12" t="s">
        <v>367</v>
      </c>
      <c r="G448" s="11" t="str">
        <f t="shared" si="20"/>
        <v>03・1FノベルティN-1</v>
      </c>
      <c r="H448" s="3"/>
    </row>
    <row r="449" spans="1:8" ht="15" customHeight="1" x14ac:dyDescent="0.2">
      <c r="A449" s="10" t="s">
        <v>387</v>
      </c>
      <c r="B449" s="10" t="str">
        <f>IFERROR(
    INDEX([1]FSHIP!B:B,MATCH(A449,[1]FSHIP!A:A,0)),
    IFERROR(
        INDEX([1]釣具商品ship!B:B,MATCH(A449,[1]釣具商品ship!A:A,0)),
        IFERROR(
            INDEX([1]玩具商品ship!B:B,MATCH(A449,[1]玩具商品ship!A:A,0)),
            IFERROR(
                INDEX([1]OEMship!B:B,MATCH(A449,[1]OEMship!A:A,0)),
                IFERROR(
                    INDEX([1]NV6ship!B:B,MATCH(A449,[1]NV6ship!A:A,0)),
                    IFERROR(
                        INDEX([1]NVship!B:B,MATCH(A449,[1]NVship!A:A,0)),
                        IFERROR(
                            INDEX([1]海ship!B:B,MATCH(A449,[1]海ship!A:A,0)),
                            IFERROR(
                                INDEX([1]ｾﾚship!B:B,MATCH(A449,[1]ｾﾚship!A:A,0)),
                                IFERROR(
                                    INDEX([1]ｾﾚﾓﾆｰ商品ship!B:B,MATCH(A449,[1]ｾﾚﾓﾆｰ商品ship!A:A,0)),
                                    INDEX([2]NV!D:D,MATCH(A449,[2]NV!C:C,0))
                                )
                            )
                        )
                    )
                )
            )
        )
    )
)</f>
        <v>ﾙﾐｶﾗｲﾄ メガ大閃光YELLOW</v>
      </c>
      <c r="C449" s="4" t="s">
        <v>382</v>
      </c>
      <c r="D449" s="10" t="str">
        <f t="shared" si="18"/>
        <v>ﾙﾐｶﾗｲﾄ メガ大閃光YELLOW ｜ 1Fノベルティ【03】 ｜ N-1</v>
      </c>
      <c r="E449" s="11" t="str">
        <f t="shared" si="19"/>
        <v>1Fノベルティ</v>
      </c>
      <c r="F449" s="12" t="s">
        <v>367</v>
      </c>
      <c r="G449" s="11" t="str">
        <f t="shared" si="20"/>
        <v>03・1FノベルティN-1</v>
      </c>
      <c r="H449" s="3"/>
    </row>
    <row r="450" spans="1:8" ht="15" customHeight="1" x14ac:dyDescent="0.2">
      <c r="A450" s="10" t="s">
        <v>388</v>
      </c>
      <c r="B450" s="10" t="str">
        <f>IFERROR(
    INDEX([1]FSHIP!B:B,MATCH(A450,[1]FSHIP!A:A,0)),
    IFERROR(
        INDEX([1]釣具商品ship!B:B,MATCH(A450,[1]釣具商品ship!A:A,0)),
        IFERROR(
            INDEX([1]玩具商品ship!B:B,MATCH(A450,[1]玩具商品ship!A:A,0)),
            IFERROR(
                INDEX([1]OEMship!B:B,MATCH(A450,[1]OEMship!A:A,0)),
                IFERROR(
                    INDEX([1]NV6ship!B:B,MATCH(A450,[1]NV6ship!A:A,0)),
                    IFERROR(
                        INDEX([1]NVship!B:B,MATCH(A450,[1]NVship!A:A,0)),
                        IFERROR(
                            INDEX([1]海ship!B:B,MATCH(A450,[1]海ship!A:A,0)),
                            IFERROR(
                                INDEX([1]ｾﾚship!B:B,MATCH(A450,[1]ｾﾚship!A:A,0)),
                                IFERROR(
                                    INDEX([1]ｾﾚﾓﾆｰ商品ship!B:B,MATCH(A450,[1]ｾﾚﾓﾆｰ商品ship!A:A,0)),
                                    INDEX([2]NV!D:D,MATCH(A450,[2]NV!C:C,0))
                                )
                            )
                        )
                    )
                )
            )
        )
    )
)</f>
        <v>ﾙﾐｶﾗｲﾄ メガ大閃光RED</v>
      </c>
      <c r="C450" s="4" t="s">
        <v>382</v>
      </c>
      <c r="D450" s="10" t="str">
        <f t="shared" ref="D450:D513" si="21">B450&amp;" ｜ "&amp;E450&amp;"【"&amp;F450&amp;"】 ｜ "&amp;C450</f>
        <v>ﾙﾐｶﾗｲﾄ メガ大閃光RED ｜ 1Fノベルティ【03】 ｜ N-1</v>
      </c>
      <c r="E450" s="11" t="str">
        <f t="shared" ref="E450:E513" si="22">INDEX(K:K, MATCH(F450, J:J, 0))</f>
        <v>1Fノベルティ</v>
      </c>
      <c r="F450" s="12" t="s">
        <v>367</v>
      </c>
      <c r="G450" s="11" t="str">
        <f t="shared" ref="G450:G513" si="23">F450&amp;"・"&amp;E450&amp;C450</f>
        <v>03・1FノベルティN-1</v>
      </c>
      <c r="H450" s="3"/>
    </row>
    <row r="451" spans="1:8" ht="15" customHeight="1" x14ac:dyDescent="0.2">
      <c r="A451" s="10" t="s">
        <v>389</v>
      </c>
      <c r="B451" s="10" t="str">
        <f>IFERROR(
    INDEX([1]FSHIP!B:B,MATCH(A451,[1]FSHIP!A:A,0)),
    IFERROR(
        INDEX([1]釣具商品ship!B:B,MATCH(A451,[1]釣具商品ship!A:A,0)),
        IFERROR(
            INDEX([1]玩具商品ship!B:B,MATCH(A451,[1]玩具商品ship!A:A,0)),
            IFERROR(
                INDEX([1]OEMship!B:B,MATCH(A451,[1]OEMship!A:A,0)),
                IFERROR(
                    INDEX([1]NV6ship!B:B,MATCH(A451,[1]NV6ship!A:A,0)),
                    IFERROR(
                        INDEX([1]NVship!B:B,MATCH(A451,[1]NVship!A:A,0)),
                        IFERROR(
                            INDEX([1]海ship!B:B,MATCH(A451,[1]海ship!A:A,0)),
                            IFERROR(
                                INDEX([1]ｾﾚship!B:B,MATCH(A451,[1]ｾﾚship!A:A,0)),
                                IFERROR(
                                    INDEX([1]ｾﾚﾓﾆｰ商品ship!B:B,MATCH(A451,[1]ｾﾚﾓﾆｰ商品ship!A:A,0)),
                                    INDEX([2]NV!D:D,MATCH(A451,[2]NV!C:C,0))
                                )
                            )
                        )
                    )
                )
            )
        )
    )
)</f>
        <v>ﾙﾐｶﾗｲﾄ メガ大閃光WHITE</v>
      </c>
      <c r="C451" s="4" t="s">
        <v>382</v>
      </c>
      <c r="D451" s="10" t="str">
        <f t="shared" si="21"/>
        <v>ﾙﾐｶﾗｲﾄ メガ大閃光WHITE ｜ 1Fノベルティ【03】 ｜ N-1</v>
      </c>
      <c r="E451" s="11" t="str">
        <f t="shared" si="22"/>
        <v>1Fノベルティ</v>
      </c>
      <c r="F451" s="12" t="s">
        <v>367</v>
      </c>
      <c r="G451" s="11" t="str">
        <f t="shared" si="23"/>
        <v>03・1FノベルティN-1</v>
      </c>
      <c r="H451" s="3"/>
    </row>
    <row r="452" spans="1:8" ht="15" customHeight="1" x14ac:dyDescent="0.2">
      <c r="A452" s="10" t="s">
        <v>390</v>
      </c>
      <c r="B452" s="10" t="str">
        <f>IFERROR(
    INDEX([1]FSHIP!B:B,MATCH(A452,[1]FSHIP!A:A,0)),
    IFERROR(
        INDEX([1]釣具商品ship!B:B,MATCH(A452,[1]釣具商品ship!A:A,0)),
        IFERROR(
            INDEX([1]玩具商品ship!B:B,MATCH(A452,[1]玩具商品ship!A:A,0)),
            IFERROR(
                INDEX([1]OEMship!B:B,MATCH(A452,[1]OEMship!A:A,0)),
                IFERROR(
                    INDEX([1]NV6ship!B:B,MATCH(A452,[1]NV6ship!A:A,0)),
                    IFERROR(
                        INDEX([1]NVship!B:B,MATCH(A452,[1]NVship!A:A,0)),
                        IFERROR(
                            INDEX([1]海ship!B:B,MATCH(A452,[1]海ship!A:A,0)),
                            IFERROR(
                                INDEX([1]ｾﾚship!B:B,MATCH(A452,[1]ｾﾚship!A:A,0)),
                                IFERROR(
                                    INDEX([1]ｾﾚﾓﾆｰ商品ship!B:B,MATCH(A452,[1]ｾﾚﾓﾆｰ商品ship!A:A,0)),
                                    INDEX([2]NV!D:D,MATCH(A452,[2]NV!C:C,0))
                                )
                            )
                        )
                    )
                )
            )
        )
    )
)</f>
        <v>ﾙﾐｶﾗｲﾄ メガ大閃光VIOLET</v>
      </c>
      <c r="C452" s="4" t="s">
        <v>382</v>
      </c>
      <c r="D452" s="10" t="str">
        <f t="shared" si="21"/>
        <v>ﾙﾐｶﾗｲﾄ メガ大閃光VIOLET ｜ 1Fノベルティ【03】 ｜ N-1</v>
      </c>
      <c r="E452" s="11" t="str">
        <f t="shared" si="22"/>
        <v>1Fノベルティ</v>
      </c>
      <c r="F452" s="12" t="s">
        <v>367</v>
      </c>
      <c r="G452" s="11" t="str">
        <f t="shared" si="23"/>
        <v>03・1FノベルティN-1</v>
      </c>
      <c r="H452" s="3"/>
    </row>
    <row r="453" spans="1:8" ht="15" customHeight="1" x14ac:dyDescent="0.2">
      <c r="A453" s="10" t="s">
        <v>422</v>
      </c>
      <c r="B453" s="10" t="str">
        <f>IFERROR(
    INDEX([1]FSHIP!B:B,MATCH(A453,[1]FSHIP!A:A,0)),
    IFERROR(
        INDEX([1]釣具商品ship!B:B,MATCH(A453,[1]釣具商品ship!A:A,0)),
        IFERROR(
            INDEX([1]玩具商品ship!B:B,MATCH(A453,[1]玩具商品ship!A:A,0)),
            IFERROR(
                INDEX([1]OEMship!B:B,MATCH(A453,[1]OEMship!A:A,0)),
                IFERROR(
                    INDEX([1]NV6ship!B:B,MATCH(A453,[1]NV6ship!A:A,0)),
                    IFERROR(
                        INDEX([1]NVship!B:B,MATCH(A453,[1]NVship!A:A,0)),
                        IFERROR(
                            INDEX([1]海ship!B:B,MATCH(A453,[1]海ship!A:A,0)),
                            IFERROR(
                                INDEX([1]ｾﾚship!B:B,MATCH(A453,[1]ｾﾚship!A:A,0)),
                                IFERROR(
                                    INDEX([1]ｾﾚﾓﾆｰ商品ship!B:B,MATCH(A453,[1]ｾﾚﾓﾆｰ商品ship!A:A,0)),
                                    INDEX([2]NV!D:D,MATCH(A453,[2]NV!C:C,0))
                                )
                            )
                        )
                    )
                )
            )
        )
    )
)</f>
        <v>ﾌﾞﾚｽﾚｯﾄ4本入　GREEN</v>
      </c>
      <c r="C453" s="4" t="s">
        <v>419</v>
      </c>
      <c r="D453" s="10" t="str">
        <f t="shared" si="21"/>
        <v>ﾌﾞﾚｽﾚｯﾄ4本入　GREEN ｜ 1Fノベルティ【03】 ｜ H-1</v>
      </c>
      <c r="E453" s="11" t="str">
        <f t="shared" si="22"/>
        <v>1Fノベルティ</v>
      </c>
      <c r="F453" s="12" t="s">
        <v>367</v>
      </c>
      <c r="G453" s="11" t="str">
        <f t="shared" si="23"/>
        <v>03・1FノベルティH-1</v>
      </c>
      <c r="H453" s="3"/>
    </row>
    <row r="454" spans="1:8" ht="15" customHeight="1" x14ac:dyDescent="0.2">
      <c r="A454" s="10" t="s">
        <v>423</v>
      </c>
      <c r="B454" s="10" t="str">
        <f>IFERROR(
    INDEX([1]FSHIP!B:B,MATCH(A454,[1]FSHIP!A:A,0)),
    IFERROR(
        INDEX([1]釣具商品ship!B:B,MATCH(A454,[1]釣具商品ship!A:A,0)),
        IFERROR(
            INDEX([1]玩具商品ship!B:B,MATCH(A454,[1]玩具商品ship!A:A,0)),
            IFERROR(
                INDEX([1]OEMship!B:B,MATCH(A454,[1]OEMship!A:A,0)),
                IFERROR(
                    INDEX([1]NV6ship!B:B,MATCH(A454,[1]NV6ship!A:A,0)),
                    IFERROR(
                        INDEX([1]NVship!B:B,MATCH(A454,[1]NVship!A:A,0)),
                        IFERROR(
                            INDEX([1]海ship!B:B,MATCH(A454,[1]海ship!A:A,0)),
                            IFERROR(
                                INDEX([1]ｾﾚship!B:B,MATCH(A454,[1]ｾﾚship!A:A,0)),
                                IFERROR(
                                    INDEX([1]ｾﾚﾓﾆｰ商品ship!B:B,MATCH(A454,[1]ｾﾚﾓﾆｰ商品ship!A:A,0)),
                                    INDEX([2]NV!D:D,MATCH(A454,[2]NV!C:C,0))
                                )
                            )
                        )
                    )
                )
            )
        )
    )
)</f>
        <v>ﾌﾞﾚｽﾚｯﾄ4本入　BLUE</v>
      </c>
      <c r="C454" s="4" t="s">
        <v>419</v>
      </c>
      <c r="D454" s="10" t="str">
        <f t="shared" si="21"/>
        <v>ﾌﾞﾚｽﾚｯﾄ4本入　BLUE ｜ 1Fノベルティ【03】 ｜ H-1</v>
      </c>
      <c r="E454" s="11" t="str">
        <f t="shared" si="22"/>
        <v>1Fノベルティ</v>
      </c>
      <c r="F454" s="12" t="s">
        <v>367</v>
      </c>
      <c r="G454" s="11" t="str">
        <f t="shared" si="23"/>
        <v>03・1FノベルティH-1</v>
      </c>
      <c r="H454" s="3"/>
    </row>
    <row r="455" spans="1:8" ht="15" customHeight="1" x14ac:dyDescent="0.2">
      <c r="A455" s="10" t="s">
        <v>424</v>
      </c>
      <c r="B455" s="10" t="str">
        <f>IFERROR(
    INDEX([1]FSHIP!B:B,MATCH(A455,[1]FSHIP!A:A,0)),
    IFERROR(
        INDEX([1]釣具商品ship!B:B,MATCH(A455,[1]釣具商品ship!A:A,0)),
        IFERROR(
            INDEX([1]玩具商品ship!B:B,MATCH(A455,[1]玩具商品ship!A:A,0)),
            IFERROR(
                INDEX([1]OEMship!B:B,MATCH(A455,[1]OEMship!A:A,0)),
                IFERROR(
                    INDEX([1]NV6ship!B:B,MATCH(A455,[1]NV6ship!A:A,0)),
                    IFERROR(
                        INDEX([1]NVship!B:B,MATCH(A455,[1]NVship!A:A,0)),
                        IFERROR(
                            INDEX([1]海ship!B:B,MATCH(A455,[1]海ship!A:A,0)),
                            IFERROR(
                                INDEX([1]ｾﾚship!B:B,MATCH(A455,[1]ｾﾚship!A:A,0)),
                                IFERROR(
                                    INDEX([1]ｾﾚﾓﾆｰ商品ship!B:B,MATCH(A455,[1]ｾﾚﾓﾆｰ商品ship!A:A,0)),
                                    INDEX([2]NV!D:D,MATCH(A455,[2]NV!C:C,0))
                                )
                            )
                        )
                    )
                )
            )
        )
    )
)</f>
        <v>ﾌﾞﾚｽﾚｯﾄ4本入　PINK</v>
      </c>
      <c r="C455" s="4" t="s">
        <v>419</v>
      </c>
      <c r="D455" s="10" t="str">
        <f t="shared" si="21"/>
        <v>ﾌﾞﾚｽﾚｯﾄ4本入　PINK ｜ 1Fノベルティ【03】 ｜ H-1</v>
      </c>
      <c r="E455" s="11" t="str">
        <f t="shared" si="22"/>
        <v>1Fノベルティ</v>
      </c>
      <c r="F455" s="12" t="s">
        <v>367</v>
      </c>
      <c r="G455" s="11" t="str">
        <f t="shared" si="23"/>
        <v>03・1FノベルティH-1</v>
      </c>
      <c r="H455" s="3"/>
    </row>
    <row r="456" spans="1:8" ht="15" customHeight="1" x14ac:dyDescent="0.2">
      <c r="A456" s="10" t="s">
        <v>425</v>
      </c>
      <c r="B456" s="10" t="str">
        <f>IFERROR(
    INDEX([1]FSHIP!B:B,MATCH(A456,[1]FSHIP!A:A,0)),
    IFERROR(
        INDEX([1]釣具商品ship!B:B,MATCH(A456,[1]釣具商品ship!A:A,0)),
        IFERROR(
            INDEX([1]玩具商品ship!B:B,MATCH(A456,[1]玩具商品ship!A:A,0)),
            IFERROR(
                INDEX([1]OEMship!B:B,MATCH(A456,[1]OEMship!A:A,0)),
                IFERROR(
                    INDEX([1]NV6ship!B:B,MATCH(A456,[1]NV6ship!A:A,0)),
                    IFERROR(
                        INDEX([1]NVship!B:B,MATCH(A456,[1]NVship!A:A,0)),
                        IFERROR(
                            INDEX([1]海ship!B:B,MATCH(A456,[1]海ship!A:A,0)),
                            IFERROR(
                                INDEX([1]ｾﾚship!B:B,MATCH(A456,[1]ｾﾚship!A:A,0)),
                                IFERROR(
                                    INDEX([1]ｾﾚﾓﾆｰ商品ship!B:B,MATCH(A456,[1]ｾﾚﾓﾆｰ商品ship!A:A,0)),
                                    INDEX([2]NV!D:D,MATCH(A456,[2]NV!C:C,0))
                                )
                            )
                        )
                    )
                )
            )
        )
    )
)</f>
        <v>ﾌﾞﾚｽﾚｯﾄ4本入　YELLOW</v>
      </c>
      <c r="C456" s="4" t="s">
        <v>419</v>
      </c>
      <c r="D456" s="10" t="str">
        <f t="shared" si="21"/>
        <v>ﾌﾞﾚｽﾚｯﾄ4本入　YELLOW ｜ 1Fノベルティ【03】 ｜ H-1</v>
      </c>
      <c r="E456" s="11" t="str">
        <f t="shared" si="22"/>
        <v>1Fノベルティ</v>
      </c>
      <c r="F456" s="12" t="s">
        <v>367</v>
      </c>
      <c r="G456" s="11" t="str">
        <f t="shared" si="23"/>
        <v>03・1FノベルティH-1</v>
      </c>
      <c r="H456" s="3"/>
    </row>
    <row r="457" spans="1:8" ht="15" customHeight="1" x14ac:dyDescent="0.2">
      <c r="A457" s="10" t="s">
        <v>426</v>
      </c>
      <c r="B457" s="10" t="str">
        <f>IFERROR(
    INDEX([1]FSHIP!B:B,MATCH(A457,[1]FSHIP!A:A,0)),
    IFERROR(
        INDEX([1]釣具商品ship!B:B,MATCH(A457,[1]釣具商品ship!A:A,0)),
        IFERROR(
            INDEX([1]玩具商品ship!B:B,MATCH(A457,[1]玩具商品ship!A:A,0)),
            IFERROR(
                INDEX([1]OEMship!B:B,MATCH(A457,[1]OEMship!A:A,0)),
                IFERROR(
                    INDEX([1]NV6ship!B:B,MATCH(A457,[1]NV6ship!A:A,0)),
                    IFERROR(
                        INDEX([1]NVship!B:B,MATCH(A457,[1]NVship!A:A,0)),
                        IFERROR(
                            INDEX([1]海ship!B:B,MATCH(A457,[1]海ship!A:A,0)),
                            IFERROR(
                                INDEX([1]ｾﾚship!B:B,MATCH(A457,[1]ｾﾚship!A:A,0)),
                                IFERROR(
                                    INDEX([1]ｾﾚﾓﾆｰ商品ship!B:B,MATCH(A457,[1]ｾﾚﾓﾆｰ商品ship!A:A,0)),
                                    INDEX([2]NV!D:D,MATCH(A457,[2]NV!C:C,0))
                                )
                            )
                        )
                    )
                )
            )
        )
    )
)</f>
        <v>ﾌﾞﾚｽﾚｯﾄ4本入　GBPY</v>
      </c>
      <c r="C457" s="4" t="s">
        <v>419</v>
      </c>
      <c r="D457" s="10" t="str">
        <f t="shared" si="21"/>
        <v>ﾌﾞﾚｽﾚｯﾄ4本入　GBPY ｜ 1Fノベルティ【03】 ｜ H-1</v>
      </c>
      <c r="E457" s="11" t="str">
        <f t="shared" si="22"/>
        <v>1Fノベルティ</v>
      </c>
      <c r="F457" s="12" t="s">
        <v>367</v>
      </c>
      <c r="G457" s="11" t="str">
        <f t="shared" si="23"/>
        <v>03・1FノベルティH-1</v>
      </c>
      <c r="H457" s="3"/>
    </row>
    <row r="458" spans="1:8" ht="15" customHeight="1" x14ac:dyDescent="0.2">
      <c r="A458" s="10" t="s">
        <v>427</v>
      </c>
      <c r="B458" s="10" t="str">
        <f>IFERROR(
    INDEX([1]FSHIP!B:B,MATCH(A458,[1]FSHIP!A:A,0)),
    IFERROR(
        INDEX([1]釣具商品ship!B:B,MATCH(A458,[1]釣具商品ship!A:A,0)),
        IFERROR(
            INDEX([1]玩具商品ship!B:B,MATCH(A458,[1]玩具商品ship!A:A,0)),
            IFERROR(
                INDEX([1]OEMship!B:B,MATCH(A458,[1]OEMship!A:A,0)),
                IFERROR(
                    INDEX([1]NV6ship!B:B,MATCH(A458,[1]NV6ship!A:A,0)),
                    IFERROR(
                        INDEX([1]NVship!B:B,MATCH(A458,[1]NVship!A:A,0)),
                        IFERROR(
                            INDEX([1]海ship!B:B,MATCH(A458,[1]海ship!A:A,0)),
                            IFERROR(
                                INDEX([1]ｾﾚship!B:B,MATCH(A458,[1]ｾﾚship!A:A,0)),
                                IFERROR(
                                    INDEX([1]ｾﾚﾓﾆｰ商品ship!B:B,MATCH(A458,[1]ｾﾚﾓﾆｰ商品ship!A:A,0)),
                                    INDEX([2]NV!D:D,MATCH(A458,[2]NV!C:C,0))
                                )
                            )
                        )
                    )
                )
            )
        )
    )
)</f>
        <v>ﾌﾞﾚｽﾚｯﾄ4本入　RWOV</v>
      </c>
      <c r="C458" s="4" t="s">
        <v>419</v>
      </c>
      <c r="D458" s="10" t="str">
        <f t="shared" si="21"/>
        <v>ﾌﾞﾚｽﾚｯﾄ4本入　RWOV ｜ 1Fノベルティ【03】 ｜ H-1</v>
      </c>
      <c r="E458" s="11" t="str">
        <f t="shared" si="22"/>
        <v>1Fノベルティ</v>
      </c>
      <c r="F458" s="12" t="s">
        <v>367</v>
      </c>
      <c r="G458" s="11" t="str">
        <f t="shared" si="23"/>
        <v>03・1FノベルティH-1</v>
      </c>
      <c r="H458" s="3"/>
    </row>
    <row r="459" spans="1:8" ht="15" customHeight="1" x14ac:dyDescent="0.2">
      <c r="A459" s="10" t="s">
        <v>478</v>
      </c>
      <c r="B459" s="10" t="str">
        <f>IFERROR(
    INDEX([1]FSHIP!B:B,MATCH(A459,[1]FSHIP!A:A,0)),
    IFERROR(
        INDEX([1]釣具商品ship!B:B,MATCH(A459,[1]釣具商品ship!A:A,0)),
        IFERROR(
            INDEX([1]玩具商品ship!B:B,MATCH(A459,[1]玩具商品ship!A:A,0)),
            IFERROR(
                INDEX([1]OEMship!B:B,MATCH(A459,[1]OEMship!A:A,0)),
                IFERROR(
                    INDEX([1]NV6ship!B:B,MATCH(A459,[1]NV6ship!A:A,0)),
                    IFERROR(
                        INDEX([1]NVship!B:B,MATCH(A459,[1]NVship!A:A,0)),
                        IFERROR(
                            INDEX([1]海ship!B:B,MATCH(A459,[1]海ship!A:A,0)),
                            IFERROR(
                                INDEX([1]ｾﾚship!B:B,MATCH(A459,[1]ｾﾚship!A:A,0)),
                                IFERROR(
                                    INDEX([1]ｾﾚﾓﾆｰ商品ship!B:B,MATCH(A459,[1]ｾﾚﾓﾆｰ商品ship!A:A,0)),
                                    INDEX([2]NV!D:D,MATCH(A459,[2]NV!C:C,0))
                                )
                            )
                        )
                    )
                )
            )
        )
    )
)</f>
        <v>ﾌﾞﾚｽﾚｯﾄ10色入</v>
      </c>
      <c r="C459" s="4" t="s">
        <v>472</v>
      </c>
      <c r="D459" s="10" t="str">
        <f t="shared" si="21"/>
        <v>ﾌﾞﾚｽﾚｯﾄ10色入 ｜ 資材倉庫・ノベルティ【10】 ｜ A-1</v>
      </c>
      <c r="E459" s="11" t="str">
        <f t="shared" si="22"/>
        <v>資材倉庫・ノベルティ</v>
      </c>
      <c r="F459" s="12" t="s">
        <v>477</v>
      </c>
      <c r="G459" s="11" t="str">
        <f t="shared" si="23"/>
        <v>10・資材倉庫・ノベルティA-1</v>
      </c>
      <c r="H459" s="3"/>
    </row>
    <row r="460" spans="1:8" ht="15" customHeight="1" x14ac:dyDescent="0.2">
      <c r="A460" s="10" t="s">
        <v>665</v>
      </c>
      <c r="B460" s="10" t="str">
        <f>IFERROR(
    INDEX([1]FSHIP!B:B,MATCH(A460,[1]FSHIP!A:A,0)),
    IFERROR(
        INDEX([1]釣具商品ship!B:B,MATCH(A460,[1]釣具商品ship!A:A,0)),
        IFERROR(
            INDEX([1]玩具商品ship!B:B,MATCH(A460,[1]玩具商品ship!A:A,0)),
            IFERROR(
                INDEX([1]OEMship!B:B,MATCH(A460,[1]OEMship!A:A,0)),
                IFERROR(
                    INDEX([1]NV6ship!B:B,MATCH(A460,[1]NV6ship!A:A,0)),
                    IFERROR(
                        INDEX([1]NVship!B:B,MATCH(A460,[1]NVship!A:A,0)),
                        IFERROR(
                            INDEX([1]海ship!B:B,MATCH(A460,[1]海ship!A:A,0)),
                            IFERROR(
                                INDEX([1]ｾﾚship!B:B,MATCH(A460,[1]ｾﾚship!A:A,0)),
                                IFERROR(
                                    INDEX([1]ｾﾚﾓﾆｰ商品ship!B:B,MATCH(A460,[1]ｾﾚﾓﾆｰ商品ship!A:A,0)),
                                    INDEX([2]NV!D:D,MATCH(A460,[2]NV!C:C,0))
                                )
                            )
                        )
                    )
                )
            )
        )
    )
)</f>
        <v>3色ｸﾞﾗﾃﾞｰｼｮﾝﾌﾞﾚｽﾚｯﾄ 4本入 ﾌｪｱﾘｰ</v>
      </c>
      <c r="C460" s="4" t="s">
        <v>472</v>
      </c>
      <c r="D460" s="10" t="str">
        <f t="shared" si="21"/>
        <v>3色ｸﾞﾗﾃﾞｰｼｮﾝﾌﾞﾚｽﾚｯﾄ 4本入 ﾌｪｱﾘｰ ｜ 資材倉庫・ノベルティ【10】 ｜ A-1</v>
      </c>
      <c r="E460" s="11" t="str">
        <f t="shared" si="22"/>
        <v>資材倉庫・ノベルティ</v>
      </c>
      <c r="F460" s="12" t="s">
        <v>674</v>
      </c>
      <c r="G460" s="11" t="str">
        <f t="shared" si="23"/>
        <v>10・資材倉庫・ノベルティA-1</v>
      </c>
      <c r="H460" s="3"/>
    </row>
    <row r="461" spans="1:8" ht="15" customHeight="1" x14ac:dyDescent="0.2">
      <c r="A461" s="10" t="s">
        <v>666</v>
      </c>
      <c r="B461" s="10" t="str">
        <f>IFERROR(
    INDEX([1]FSHIP!B:B,MATCH(A461,[1]FSHIP!A:A,0)),
    IFERROR(
        INDEX([1]釣具商品ship!B:B,MATCH(A461,[1]釣具商品ship!A:A,0)),
        IFERROR(
            INDEX([1]玩具商品ship!B:B,MATCH(A461,[1]玩具商品ship!A:A,0)),
            IFERROR(
                INDEX([1]OEMship!B:B,MATCH(A461,[1]OEMship!A:A,0)),
                IFERROR(
                    INDEX([1]NV6ship!B:B,MATCH(A461,[1]NV6ship!A:A,0)),
                    IFERROR(
                        INDEX([1]NVship!B:B,MATCH(A461,[1]NVship!A:A,0)),
                        IFERROR(
                            INDEX([1]海ship!B:B,MATCH(A461,[1]海ship!A:A,0)),
                            IFERROR(
                                INDEX([1]ｾﾚship!B:B,MATCH(A461,[1]ｾﾚship!A:A,0)),
                                IFERROR(
                                    INDEX([1]ｾﾚﾓﾆｰ商品ship!B:B,MATCH(A461,[1]ｾﾚﾓﾆｰ商品ship!A:A,0)),
                                    INDEX([2]NV!D:D,MATCH(A461,[2]NV!C:C,0))
                                )
                            )
                        )
                    )
                )
            )
        )
    )
)</f>
        <v>3色ｸﾞﾗﾃﾞｰｼｮﾝﾌﾞﾚｽﾚｯﾄ 4本入 ﾏｰﾒｲﾄﾞ</v>
      </c>
      <c r="C461" s="4" t="s">
        <v>472</v>
      </c>
      <c r="D461" s="10" t="str">
        <f t="shared" si="21"/>
        <v>3色ｸﾞﾗﾃﾞｰｼｮﾝﾌﾞﾚｽﾚｯﾄ 4本入 ﾏｰﾒｲﾄﾞ ｜ 資材倉庫・ノベルティ【10】 ｜ A-1</v>
      </c>
      <c r="E461" s="11" t="str">
        <f t="shared" si="22"/>
        <v>資材倉庫・ノベルティ</v>
      </c>
      <c r="F461" s="12" t="s">
        <v>674</v>
      </c>
      <c r="G461" s="11" t="str">
        <f t="shared" si="23"/>
        <v>10・資材倉庫・ノベルティA-1</v>
      </c>
      <c r="H461" s="3"/>
    </row>
    <row r="462" spans="1:8" ht="15" customHeight="1" x14ac:dyDescent="0.2">
      <c r="A462" s="10" t="s">
        <v>667</v>
      </c>
      <c r="B462" s="10" t="str">
        <f>IFERROR(
    INDEX([1]FSHIP!B:B,MATCH(A462,[1]FSHIP!A:A,0)),
    IFERROR(
        INDEX([1]釣具商品ship!B:B,MATCH(A462,[1]釣具商品ship!A:A,0)),
        IFERROR(
            INDEX([1]玩具商品ship!B:B,MATCH(A462,[1]玩具商品ship!A:A,0)),
            IFERROR(
                INDEX([1]OEMship!B:B,MATCH(A462,[1]OEMship!A:A,0)),
                IFERROR(
                    INDEX([1]NV6ship!B:B,MATCH(A462,[1]NV6ship!A:A,0)),
                    IFERROR(
                        INDEX([1]NVship!B:B,MATCH(A462,[1]NVship!A:A,0)),
                        IFERROR(
                            INDEX([1]海ship!B:B,MATCH(A462,[1]海ship!A:A,0)),
                            IFERROR(
                                INDEX([1]ｾﾚship!B:B,MATCH(A462,[1]ｾﾚship!A:A,0)),
                                IFERROR(
                                    INDEX([1]ｾﾚﾓﾆｰ商品ship!B:B,MATCH(A462,[1]ｾﾚﾓﾆｰ商品ship!A:A,0)),
                                    INDEX([2]NV!D:D,MATCH(A462,[2]NV!C:C,0))
                                )
                            )
                        )
                    )
                )
            )
        )
    )
)</f>
        <v>3色ｸﾞﾗﾃﾞｰｼｮﾝﾌﾞﾚｽﾚｯﾄ 4本入 ﾄﾛﾋﾟｶﾙ</v>
      </c>
      <c r="C462" s="4" t="s">
        <v>472</v>
      </c>
      <c r="D462" s="10" t="str">
        <f t="shared" si="21"/>
        <v>3色ｸﾞﾗﾃﾞｰｼｮﾝﾌﾞﾚｽﾚｯﾄ 4本入 ﾄﾛﾋﾟｶﾙ ｜ 資材倉庫・ノベルティ【10】 ｜ A-1</v>
      </c>
      <c r="E462" s="11" t="str">
        <f t="shared" si="22"/>
        <v>資材倉庫・ノベルティ</v>
      </c>
      <c r="F462" s="12" t="s">
        <v>674</v>
      </c>
      <c r="G462" s="11" t="str">
        <f t="shared" si="23"/>
        <v>10・資材倉庫・ノベルティA-1</v>
      </c>
      <c r="H462" s="3"/>
    </row>
    <row r="463" spans="1:8" ht="15" customHeight="1" x14ac:dyDescent="0.2">
      <c r="A463" s="10" t="s">
        <v>668</v>
      </c>
      <c r="B463" s="10" t="str">
        <f>IFERROR(
    INDEX([1]FSHIP!B:B,MATCH(A463,[1]FSHIP!A:A,0)),
    IFERROR(
        INDEX([1]釣具商品ship!B:B,MATCH(A463,[1]釣具商品ship!A:A,0)),
        IFERROR(
            INDEX([1]玩具商品ship!B:B,MATCH(A463,[1]玩具商品ship!A:A,0)),
            IFERROR(
                INDEX([1]OEMship!B:B,MATCH(A463,[1]OEMship!A:A,0)),
                IFERROR(
                    INDEX([1]NV6ship!B:B,MATCH(A463,[1]NV6ship!A:A,0)),
                    IFERROR(
                        INDEX([1]NVship!B:B,MATCH(A463,[1]NVship!A:A,0)),
                        IFERROR(
                            INDEX([1]海ship!B:B,MATCH(A463,[1]海ship!A:A,0)),
                            IFERROR(
                                INDEX([1]ｾﾚship!B:B,MATCH(A463,[1]ｾﾚship!A:A,0)),
                                IFERROR(
                                    INDEX([1]ｾﾚﾓﾆｰ商品ship!B:B,MATCH(A463,[1]ｾﾚﾓﾆｰ商品ship!A:A,0)),
                                    INDEX([2]NV!D:D,MATCH(A463,[2]NV!C:C,0))
                                )
                            )
                        )
                    )
                )
            )
        )
    )
)</f>
        <v>ﾌﾞﾚｽﾚｯﾄ(ﾚｲﾝﾎﾞｰ/ﾌｧﾝﾀｼﾞｰｱｿｰﾄ)3本入</v>
      </c>
      <c r="C463" s="4" t="s">
        <v>472</v>
      </c>
      <c r="D463" s="10" t="str">
        <f t="shared" si="21"/>
        <v>ﾌﾞﾚｽﾚｯﾄ(ﾚｲﾝﾎﾞｰ/ﾌｧﾝﾀｼﾞｰｱｿｰﾄ)3本入 ｜ 資材倉庫・ノベルティ【10】 ｜ A-1</v>
      </c>
      <c r="E463" s="11" t="str">
        <f t="shared" si="22"/>
        <v>資材倉庫・ノベルティ</v>
      </c>
      <c r="F463" s="12" t="s">
        <v>674</v>
      </c>
      <c r="G463" s="11" t="str">
        <f t="shared" si="23"/>
        <v>10・資材倉庫・ノベルティA-1</v>
      </c>
      <c r="H463" s="3"/>
    </row>
    <row r="464" spans="1:8" ht="15" customHeight="1" x14ac:dyDescent="0.2">
      <c r="A464" s="10" t="s">
        <v>416</v>
      </c>
      <c r="B464" s="10" t="str">
        <f>IFERROR(
    INDEX([1]FSHIP!B:B,MATCH(A464,[1]FSHIP!A:A,0)),
    IFERROR(
        INDEX([1]釣具商品ship!B:B,MATCH(A464,[1]釣具商品ship!A:A,0)),
        IFERROR(
            INDEX([1]玩具商品ship!B:B,MATCH(A464,[1]玩具商品ship!A:A,0)),
            IFERROR(
                INDEX([1]OEMship!B:B,MATCH(A464,[1]OEMship!A:A,0)),
                IFERROR(
                    INDEX([1]NV6ship!B:B,MATCH(A464,[1]NV6ship!A:A,0)),
                    IFERROR(
                        INDEX([1]NVship!B:B,MATCH(A464,[1]NVship!A:A,0)),
                        IFERROR(
                            INDEX([1]海ship!B:B,MATCH(A464,[1]海ship!A:A,0)),
                            IFERROR(
                                INDEX([1]ｾﾚship!B:B,MATCH(A464,[1]ｾﾚship!A:A,0)),
                                IFERROR(
                                    INDEX([1]ｾﾚﾓﾆｰ商品ship!B:B,MATCH(A464,[1]ｾﾚﾓﾆｰ商品ship!A:A,0)),
                                    INDEX([2]NV!D:D,MATCH(A464,[2]NV!C:C,0))
                                )
                            )
                        )
                    )
                )
            )
        )
    )
)</f>
        <v>ファンタジーブレスレット(PVB)50本入</v>
      </c>
      <c r="C464" s="4" t="s">
        <v>415</v>
      </c>
      <c r="D464" s="10" t="str">
        <f t="shared" si="21"/>
        <v>ファンタジーブレスレット(PVB)50本入 ｜ 1Fノベルティ【03】 ｜ J-1</v>
      </c>
      <c r="E464" s="11" t="str">
        <f t="shared" si="22"/>
        <v>1Fノベルティ</v>
      </c>
      <c r="F464" s="12" t="s">
        <v>367</v>
      </c>
      <c r="G464" s="11" t="str">
        <f t="shared" si="23"/>
        <v>03・1FノベルティJ-1</v>
      </c>
      <c r="H464" s="3"/>
    </row>
    <row r="465" spans="1:8" ht="15" customHeight="1" x14ac:dyDescent="0.2">
      <c r="A465" s="10" t="s">
        <v>417</v>
      </c>
      <c r="B465" s="10" t="str">
        <f>IFERROR(
    INDEX([1]FSHIP!B:B,MATCH(A465,[1]FSHIP!A:A,0)),
    IFERROR(
        INDEX([1]釣具商品ship!B:B,MATCH(A465,[1]釣具商品ship!A:A,0)),
        IFERROR(
            INDEX([1]玩具商品ship!B:B,MATCH(A465,[1]玩具商品ship!A:A,0)),
            IFERROR(
                INDEX([1]OEMship!B:B,MATCH(A465,[1]OEMship!A:A,0)),
                IFERROR(
                    INDEX([1]NV6ship!B:B,MATCH(A465,[1]NV6ship!A:A,0)),
                    IFERROR(
                        INDEX([1]NVship!B:B,MATCH(A465,[1]NVship!A:A,0)),
                        IFERROR(
                            INDEX([1]海ship!B:B,MATCH(A465,[1]海ship!A:A,0)),
                            IFERROR(
                                INDEX([1]ｾﾚship!B:B,MATCH(A465,[1]ｾﾚship!A:A,0)),
                                IFERROR(
                                    INDEX([1]ｾﾚﾓﾆｰ商品ship!B:B,MATCH(A465,[1]ｾﾚﾓﾆｰ商品ship!A:A,0)),
                                    INDEX([2]NV!D:D,MATCH(A465,[2]NV!C:C,0))
                                )
                            )
                        )
                    )
                )
            )
        )
    )
)</f>
        <v>レインボーブレスレット(RGB)50本入</v>
      </c>
      <c r="C465" s="4" t="s">
        <v>405</v>
      </c>
      <c r="D465" s="10" t="str">
        <f t="shared" si="21"/>
        <v>レインボーブレスレット(RGB)50本入 ｜ 1Fノベルティ【03】 ｜ L-1</v>
      </c>
      <c r="E465" s="11" t="str">
        <f t="shared" si="22"/>
        <v>1Fノベルティ</v>
      </c>
      <c r="F465" s="12" t="s">
        <v>367</v>
      </c>
      <c r="G465" s="11" t="str">
        <f t="shared" si="23"/>
        <v>03・1FノベルティL-1</v>
      </c>
      <c r="H465" s="3"/>
    </row>
    <row r="466" spans="1:8" ht="15" customHeight="1" x14ac:dyDescent="0.2">
      <c r="A466" s="10" t="s">
        <v>406</v>
      </c>
      <c r="B466" s="10" t="str">
        <f>IFERROR(
    INDEX([1]FSHIP!B:B,MATCH(A466,[1]FSHIP!A:A,0)),
    IFERROR(
        INDEX([1]釣具商品ship!B:B,MATCH(A466,[1]釣具商品ship!A:A,0)),
        IFERROR(
            INDEX([1]玩具商品ship!B:B,MATCH(A466,[1]玩具商品ship!A:A,0)),
            IFERROR(
                INDEX([1]OEMship!B:B,MATCH(A466,[1]OEMship!A:A,0)),
                IFERROR(
                    INDEX([1]NV6ship!B:B,MATCH(A466,[1]NV6ship!A:A,0)),
                    IFERROR(
                        INDEX([1]NVship!B:B,MATCH(A466,[1]NVship!A:A,0)),
                        IFERROR(
                            INDEX([1]海ship!B:B,MATCH(A466,[1]海ship!A:A,0)),
                            IFERROR(
                                INDEX([1]ｾﾚship!B:B,MATCH(A466,[1]ｾﾚship!A:A,0)),
                                IFERROR(
                                    INDEX([1]ｾﾚﾓﾆｰ商品ship!B:B,MATCH(A466,[1]ｾﾚﾓﾆｰ商品ship!A:A,0)),
                                    INDEX([2]NV!D:D,MATCH(A466,[2]NV!C:C,0))
                                )
                            )
                        )
                    )
                )
            )
        )
    )
)</f>
        <v>業務用ブレスレット50 10色アソート</v>
      </c>
      <c r="C466" s="4" t="s">
        <v>405</v>
      </c>
      <c r="D466" s="10" t="str">
        <f t="shared" si="21"/>
        <v>業務用ブレスレット50 10色アソート ｜ 1Fノベルティ【03】 ｜ L-1</v>
      </c>
      <c r="E466" s="11" t="str">
        <f t="shared" si="22"/>
        <v>1Fノベルティ</v>
      </c>
      <c r="F466" s="12" t="s">
        <v>367</v>
      </c>
      <c r="G466" s="11" t="str">
        <f t="shared" si="23"/>
        <v>03・1FノベルティL-1</v>
      </c>
      <c r="H466" s="3"/>
    </row>
    <row r="467" spans="1:8" ht="15" customHeight="1" x14ac:dyDescent="0.2">
      <c r="A467" s="10" t="s">
        <v>407</v>
      </c>
      <c r="B467" s="10" t="str">
        <f>IFERROR(
    INDEX([1]FSHIP!B:B,MATCH(A467,[1]FSHIP!A:A,0)),
    IFERROR(
        INDEX([1]釣具商品ship!B:B,MATCH(A467,[1]釣具商品ship!A:A,0)),
        IFERROR(
            INDEX([1]玩具商品ship!B:B,MATCH(A467,[1]玩具商品ship!A:A,0)),
            IFERROR(
                INDEX([1]OEMship!B:B,MATCH(A467,[1]OEMship!A:A,0)),
                IFERROR(
                    INDEX([1]NV6ship!B:B,MATCH(A467,[1]NV6ship!A:A,0)),
                    IFERROR(
                        INDEX([1]NVship!B:B,MATCH(A467,[1]NVship!A:A,0)),
                        IFERROR(
                            INDEX([1]海ship!B:B,MATCH(A467,[1]海ship!A:A,0)),
                            IFERROR(
                                INDEX([1]ｾﾚship!B:B,MATCH(A467,[1]ｾﾚship!A:A,0)),
                                IFERROR(
                                    INDEX([1]ｾﾚﾓﾆｰ商品ship!B:B,MATCH(A467,[1]ｾﾚﾓﾆｰ商品ship!A:A,0)),
                                    INDEX([2]NV!D:D,MATCH(A467,[2]NV!C:C,0))
                                )
                            )
                        )
                    )
                )
            )
        )
    )
)</f>
        <v>業務用 新ブレスレット50 GREEN</v>
      </c>
      <c r="C467" s="4" t="s">
        <v>405</v>
      </c>
      <c r="D467" s="10" t="str">
        <f t="shared" si="21"/>
        <v>業務用 新ブレスレット50 GREEN ｜ 1Fノベルティ【03】 ｜ L-1</v>
      </c>
      <c r="E467" s="11" t="str">
        <f t="shared" si="22"/>
        <v>1Fノベルティ</v>
      </c>
      <c r="F467" s="12" t="s">
        <v>367</v>
      </c>
      <c r="G467" s="11" t="str">
        <f t="shared" si="23"/>
        <v>03・1FノベルティL-1</v>
      </c>
      <c r="H467" s="3"/>
    </row>
    <row r="468" spans="1:8" ht="15" customHeight="1" x14ac:dyDescent="0.2">
      <c r="A468" s="10" t="s">
        <v>408</v>
      </c>
      <c r="B468" s="10" t="str">
        <f>IFERROR(
    INDEX([1]FSHIP!B:B,MATCH(A468,[1]FSHIP!A:A,0)),
    IFERROR(
        INDEX([1]釣具商品ship!B:B,MATCH(A468,[1]釣具商品ship!A:A,0)),
        IFERROR(
            INDEX([1]玩具商品ship!B:B,MATCH(A468,[1]玩具商品ship!A:A,0)),
            IFERROR(
                INDEX([1]OEMship!B:B,MATCH(A468,[1]OEMship!A:A,0)),
                IFERROR(
                    INDEX([1]NV6ship!B:B,MATCH(A468,[1]NV6ship!A:A,0)),
                    IFERROR(
                        INDEX([1]NVship!B:B,MATCH(A468,[1]NVship!A:A,0)),
                        IFERROR(
                            INDEX([1]海ship!B:B,MATCH(A468,[1]海ship!A:A,0)),
                            IFERROR(
                                INDEX([1]ｾﾚship!B:B,MATCH(A468,[1]ｾﾚship!A:A,0)),
                                IFERROR(
                                    INDEX([1]ｾﾚﾓﾆｰ商品ship!B:B,MATCH(A468,[1]ｾﾚﾓﾆｰ商品ship!A:A,0)),
                                    INDEX([2]NV!D:D,MATCH(A468,[2]NV!C:C,0))
                                )
                            )
                        )
                    )
                )
            )
        )
    )
)</f>
        <v>業務用 新ブレスレット50 BLUE</v>
      </c>
      <c r="C468" s="4" t="s">
        <v>405</v>
      </c>
      <c r="D468" s="10" t="str">
        <f t="shared" si="21"/>
        <v>業務用 新ブレスレット50 BLUE ｜ 1Fノベルティ【03】 ｜ L-1</v>
      </c>
      <c r="E468" s="11" t="str">
        <f t="shared" si="22"/>
        <v>1Fノベルティ</v>
      </c>
      <c r="F468" s="12" t="s">
        <v>367</v>
      </c>
      <c r="G468" s="11" t="str">
        <f t="shared" si="23"/>
        <v>03・1FノベルティL-1</v>
      </c>
      <c r="H468" s="3"/>
    </row>
    <row r="469" spans="1:8" ht="15" customHeight="1" x14ac:dyDescent="0.2">
      <c r="A469" s="10" t="s">
        <v>409</v>
      </c>
      <c r="B469" s="10" t="str">
        <f>IFERROR(
    INDEX([1]FSHIP!B:B,MATCH(A469,[1]FSHIP!A:A,0)),
    IFERROR(
        INDEX([1]釣具商品ship!B:B,MATCH(A469,[1]釣具商品ship!A:A,0)),
        IFERROR(
            INDEX([1]玩具商品ship!B:B,MATCH(A469,[1]玩具商品ship!A:A,0)),
            IFERROR(
                INDEX([1]OEMship!B:B,MATCH(A469,[1]OEMship!A:A,0)),
                IFERROR(
                    INDEX([1]NV6ship!B:B,MATCH(A469,[1]NV6ship!A:A,0)),
                    IFERROR(
                        INDEX([1]NVship!B:B,MATCH(A469,[1]NVship!A:A,0)),
                        IFERROR(
                            INDEX([1]海ship!B:B,MATCH(A469,[1]海ship!A:A,0)),
                            IFERROR(
                                INDEX([1]ｾﾚship!B:B,MATCH(A469,[1]ｾﾚship!A:A,0)),
                                IFERROR(
                                    INDEX([1]ｾﾚﾓﾆｰ商品ship!B:B,MATCH(A469,[1]ｾﾚﾓﾆｰ商品ship!A:A,0)),
                                    INDEX([2]NV!D:D,MATCH(A469,[2]NV!C:C,0))
                                )
                            )
                        )
                    )
                )
            )
        )
    )
)</f>
        <v>業務用 新ブレスレット50 PINK</v>
      </c>
      <c r="C469" s="4" t="s">
        <v>405</v>
      </c>
      <c r="D469" s="10" t="str">
        <f t="shared" si="21"/>
        <v>業務用 新ブレスレット50 PINK ｜ 1Fノベルティ【03】 ｜ L-1</v>
      </c>
      <c r="E469" s="11" t="str">
        <f t="shared" si="22"/>
        <v>1Fノベルティ</v>
      </c>
      <c r="F469" s="12" t="s">
        <v>367</v>
      </c>
      <c r="G469" s="11" t="str">
        <f t="shared" si="23"/>
        <v>03・1FノベルティL-1</v>
      </c>
      <c r="H469" s="3"/>
    </row>
    <row r="470" spans="1:8" ht="15" customHeight="1" x14ac:dyDescent="0.2">
      <c r="A470" s="10" t="s">
        <v>410</v>
      </c>
      <c r="B470" s="10" t="str">
        <f>IFERROR(
    INDEX([1]FSHIP!B:B,MATCH(A470,[1]FSHIP!A:A,0)),
    IFERROR(
        INDEX([1]釣具商品ship!B:B,MATCH(A470,[1]釣具商品ship!A:A,0)),
        IFERROR(
            INDEX([1]玩具商品ship!B:B,MATCH(A470,[1]玩具商品ship!A:A,0)),
            IFERROR(
                INDEX([1]OEMship!B:B,MATCH(A470,[1]OEMship!A:A,0)),
                IFERROR(
                    INDEX([1]NV6ship!B:B,MATCH(A470,[1]NV6ship!A:A,0)),
                    IFERROR(
                        INDEX([1]NVship!B:B,MATCH(A470,[1]NVship!A:A,0)),
                        IFERROR(
                            INDEX([1]海ship!B:B,MATCH(A470,[1]海ship!A:A,0)),
                            IFERROR(
                                INDEX([1]ｾﾚship!B:B,MATCH(A470,[1]ｾﾚship!A:A,0)),
                                IFERROR(
                                    INDEX([1]ｾﾚﾓﾆｰ商品ship!B:B,MATCH(A470,[1]ｾﾚﾓﾆｰ商品ship!A:A,0)),
                                    INDEX([2]NV!D:D,MATCH(A470,[2]NV!C:C,0))
                                )
                            )
                        )
                    )
                )
            )
        )
    )
)</f>
        <v>業務用 新ブレスレット50 ORANGE</v>
      </c>
      <c r="C470" s="4" t="s">
        <v>405</v>
      </c>
      <c r="D470" s="10" t="str">
        <f t="shared" si="21"/>
        <v>業務用 新ブレスレット50 ORANGE ｜ 1Fノベルティ【03】 ｜ L-1</v>
      </c>
      <c r="E470" s="11" t="str">
        <f t="shared" si="22"/>
        <v>1Fノベルティ</v>
      </c>
      <c r="F470" s="12" t="s">
        <v>367</v>
      </c>
      <c r="G470" s="11" t="str">
        <f t="shared" si="23"/>
        <v>03・1FノベルティL-1</v>
      </c>
      <c r="H470" s="3"/>
    </row>
    <row r="471" spans="1:8" ht="15" customHeight="1" x14ac:dyDescent="0.2">
      <c r="A471" s="10" t="s">
        <v>411</v>
      </c>
      <c r="B471" s="10" t="str">
        <f>IFERROR(
    INDEX([1]FSHIP!B:B,MATCH(A471,[1]FSHIP!A:A,0)),
    IFERROR(
        INDEX([1]釣具商品ship!B:B,MATCH(A471,[1]釣具商品ship!A:A,0)),
        IFERROR(
            INDEX([1]玩具商品ship!B:B,MATCH(A471,[1]玩具商品ship!A:A,0)),
            IFERROR(
                INDEX([1]OEMship!B:B,MATCH(A471,[1]OEMship!A:A,0)),
                IFERROR(
                    INDEX([1]NV6ship!B:B,MATCH(A471,[1]NV6ship!A:A,0)),
                    IFERROR(
                        INDEX([1]NVship!B:B,MATCH(A471,[1]NVship!A:A,0)),
                        IFERROR(
                            INDEX([1]海ship!B:B,MATCH(A471,[1]海ship!A:A,0)),
                            IFERROR(
                                INDEX([1]ｾﾚship!B:B,MATCH(A471,[1]ｾﾚship!A:A,0)),
                                IFERROR(
                                    INDEX([1]ｾﾚﾓﾆｰ商品ship!B:B,MATCH(A471,[1]ｾﾚﾓﾆｰ商品ship!A:A,0)),
                                    INDEX([2]NV!D:D,MATCH(A471,[2]NV!C:C,0))
                                )
                            )
                        )
                    )
                )
            )
        )
    )
)</f>
        <v>業務用 新ブレスレット50 YELLOW</v>
      </c>
      <c r="C471" s="4" t="s">
        <v>405</v>
      </c>
      <c r="D471" s="10" t="str">
        <f t="shared" si="21"/>
        <v>業務用 新ブレスレット50 YELLOW ｜ 1Fノベルティ【03】 ｜ L-1</v>
      </c>
      <c r="E471" s="11" t="str">
        <f t="shared" si="22"/>
        <v>1Fノベルティ</v>
      </c>
      <c r="F471" s="12" t="s">
        <v>367</v>
      </c>
      <c r="G471" s="11" t="str">
        <f t="shared" si="23"/>
        <v>03・1FノベルティL-1</v>
      </c>
      <c r="H471" s="3"/>
    </row>
    <row r="472" spans="1:8" ht="15" customHeight="1" x14ac:dyDescent="0.2">
      <c r="A472" s="10" t="s">
        <v>412</v>
      </c>
      <c r="B472" s="10" t="str">
        <f>IFERROR(
    INDEX([1]FSHIP!B:B,MATCH(A472,[1]FSHIP!A:A,0)),
    IFERROR(
        INDEX([1]釣具商品ship!B:B,MATCH(A472,[1]釣具商品ship!A:A,0)),
        IFERROR(
            INDEX([1]玩具商品ship!B:B,MATCH(A472,[1]玩具商品ship!A:A,0)),
            IFERROR(
                INDEX([1]OEMship!B:B,MATCH(A472,[1]OEMship!A:A,0)),
                IFERROR(
                    INDEX([1]NV6ship!B:B,MATCH(A472,[1]NV6ship!A:A,0)),
                    IFERROR(
                        INDEX([1]NVship!B:B,MATCH(A472,[1]NVship!A:A,0)),
                        IFERROR(
                            INDEX([1]海ship!B:B,MATCH(A472,[1]海ship!A:A,0)),
                            IFERROR(
                                INDEX([1]ｾﾚship!B:B,MATCH(A472,[1]ｾﾚship!A:A,0)),
                                IFERROR(
                                    INDEX([1]ｾﾚﾓﾆｰ商品ship!B:B,MATCH(A472,[1]ｾﾚﾓﾆｰ商品ship!A:A,0)),
                                    INDEX([2]NV!D:D,MATCH(A472,[2]NV!C:C,0))
                                )
                            )
                        )
                    )
                )
            )
        )
    )
)</f>
        <v>業務用 新ブレスレット50 RED</v>
      </c>
      <c r="C472" s="4" t="s">
        <v>405</v>
      </c>
      <c r="D472" s="10" t="str">
        <f t="shared" si="21"/>
        <v>業務用 新ブレスレット50 RED ｜ 1Fノベルティ【03】 ｜ L-1</v>
      </c>
      <c r="E472" s="11" t="str">
        <f t="shared" si="22"/>
        <v>1Fノベルティ</v>
      </c>
      <c r="F472" s="12" t="s">
        <v>367</v>
      </c>
      <c r="G472" s="11" t="str">
        <f t="shared" si="23"/>
        <v>03・1FノベルティL-1</v>
      </c>
      <c r="H472" s="3"/>
    </row>
    <row r="473" spans="1:8" ht="15" customHeight="1" x14ac:dyDescent="0.2">
      <c r="A473" s="10" t="s">
        <v>413</v>
      </c>
      <c r="B473" s="10" t="str">
        <f>IFERROR(
    INDEX([1]FSHIP!B:B,MATCH(A473,[1]FSHIP!A:A,0)),
    IFERROR(
        INDEX([1]釣具商品ship!B:B,MATCH(A473,[1]釣具商品ship!A:A,0)),
        IFERROR(
            INDEX([1]玩具商品ship!B:B,MATCH(A473,[1]玩具商品ship!A:A,0)),
            IFERROR(
                INDEX([1]OEMship!B:B,MATCH(A473,[1]OEMship!A:A,0)),
                IFERROR(
                    INDEX([1]NV6ship!B:B,MATCH(A473,[1]NV6ship!A:A,0)),
                    IFERROR(
                        INDEX([1]NVship!B:B,MATCH(A473,[1]NVship!A:A,0)),
                        IFERROR(
                            INDEX([1]海ship!B:B,MATCH(A473,[1]海ship!A:A,0)),
                            IFERROR(
                                INDEX([1]ｾﾚship!B:B,MATCH(A473,[1]ｾﾚship!A:A,0)),
                                IFERROR(
                                    INDEX([1]ｾﾚﾓﾆｰ商品ship!B:B,MATCH(A473,[1]ｾﾚﾓﾆｰ商品ship!A:A,0)),
                                    INDEX([2]NV!D:D,MATCH(A473,[2]NV!C:C,0))
                                )
                            )
                        )
                    )
                )
            )
        )
    )
)</f>
        <v>業務用 新ブレスレット50 WHITE</v>
      </c>
      <c r="C473" s="4" t="s">
        <v>405</v>
      </c>
      <c r="D473" s="10" t="str">
        <f t="shared" si="21"/>
        <v>業務用 新ブレスレット50 WHITE ｜ 1Fノベルティ【03】 ｜ L-1</v>
      </c>
      <c r="E473" s="11" t="str">
        <f t="shared" si="22"/>
        <v>1Fノベルティ</v>
      </c>
      <c r="F473" s="12" t="s">
        <v>367</v>
      </c>
      <c r="G473" s="11" t="str">
        <f t="shared" si="23"/>
        <v>03・1FノベルティL-1</v>
      </c>
      <c r="H473" s="3"/>
    </row>
    <row r="474" spans="1:8" ht="15" customHeight="1" x14ac:dyDescent="0.2">
      <c r="A474" s="10" t="s">
        <v>414</v>
      </c>
      <c r="B474" s="10" t="str">
        <f>IFERROR(
    INDEX([1]FSHIP!B:B,MATCH(A474,[1]FSHIP!A:A,0)),
    IFERROR(
        INDEX([1]釣具商品ship!B:B,MATCH(A474,[1]釣具商品ship!A:A,0)),
        IFERROR(
            INDEX([1]玩具商品ship!B:B,MATCH(A474,[1]玩具商品ship!A:A,0)),
            IFERROR(
                INDEX([1]OEMship!B:B,MATCH(A474,[1]OEMship!A:A,0)),
                IFERROR(
                    INDEX([1]NV6ship!B:B,MATCH(A474,[1]NV6ship!A:A,0)),
                    IFERROR(
                        INDEX([1]NVship!B:B,MATCH(A474,[1]NVship!A:A,0)),
                        IFERROR(
                            INDEX([1]海ship!B:B,MATCH(A474,[1]海ship!A:A,0)),
                            IFERROR(
                                INDEX([1]ｾﾚship!B:B,MATCH(A474,[1]ｾﾚship!A:A,0)),
                                IFERROR(
                                    INDEX([1]ｾﾚﾓﾆｰ商品ship!B:B,MATCH(A474,[1]ｾﾚﾓﾆｰ商品ship!A:A,0)),
                                    INDEX([2]NV!D:D,MATCH(A474,[2]NV!C:C,0))
                                )
                            )
                        )
                    )
                )
            )
        )
    )
)</f>
        <v>業務用 新ブレスレット50 VIOLET</v>
      </c>
      <c r="C474" s="4" t="s">
        <v>405</v>
      </c>
      <c r="D474" s="10" t="str">
        <f t="shared" si="21"/>
        <v>業務用 新ブレスレット50 VIOLET ｜ 1Fノベルティ【03】 ｜ L-1</v>
      </c>
      <c r="E474" s="11" t="str">
        <f t="shared" si="22"/>
        <v>1Fノベルティ</v>
      </c>
      <c r="F474" s="12" t="s">
        <v>367</v>
      </c>
      <c r="G474" s="11" t="str">
        <f t="shared" si="23"/>
        <v>03・1FノベルティL-1</v>
      </c>
      <c r="H474" s="3"/>
    </row>
    <row r="475" spans="1:8" ht="15" customHeight="1" x14ac:dyDescent="0.2">
      <c r="A475" s="10" t="s">
        <v>418</v>
      </c>
      <c r="B475" s="10" t="str">
        <f>IFERROR(
    INDEX([1]FSHIP!B:B,MATCH(A475,[1]FSHIP!A:A,0)),
    IFERROR(
        INDEX([1]釣具商品ship!B:B,MATCH(A475,[1]釣具商品ship!A:A,0)),
        IFERROR(
            INDEX([1]玩具商品ship!B:B,MATCH(A475,[1]玩具商品ship!A:A,0)),
            IFERROR(
                INDEX([1]OEMship!B:B,MATCH(A475,[1]OEMship!A:A,0)),
                IFERROR(
                    INDEX([1]NV6ship!B:B,MATCH(A475,[1]NV6ship!A:A,0)),
                    IFERROR(
                        INDEX([1]NVship!B:B,MATCH(A475,[1]NVship!A:A,0)),
                        IFERROR(
                            INDEX([1]海ship!B:B,MATCH(A475,[1]海ship!A:A,0)),
                            IFERROR(
                                INDEX([1]ｾﾚship!B:B,MATCH(A475,[1]ｾﾚship!A:A,0)),
                                IFERROR(
                                    INDEX([1]ｾﾚﾓﾆｰ商品ship!B:B,MATCH(A475,[1]ｾﾚﾓﾆｰ商品ship!A:A,0)),
                                    INDEX([2]NV!D:D,MATCH(A475,[2]NV!C:C,0))
                                )
                            )
                        )
                    )
                )
            )
        )
    )
)</f>
        <v>業務用 新ブレスレット50 PEPPERMINT GREEN</v>
      </c>
      <c r="C475" s="4" t="s">
        <v>415</v>
      </c>
      <c r="D475" s="10" t="str">
        <f t="shared" si="21"/>
        <v>業務用 新ブレスレット50 PEPPERMINT GREEN ｜ 1Fノベルティ【03】 ｜ J-1</v>
      </c>
      <c r="E475" s="11" t="str">
        <f t="shared" si="22"/>
        <v>1Fノベルティ</v>
      </c>
      <c r="F475" s="12" t="s">
        <v>367</v>
      </c>
      <c r="G475" s="11" t="str">
        <f t="shared" si="23"/>
        <v>03・1FノベルティJ-1</v>
      </c>
      <c r="H475" s="3"/>
    </row>
    <row r="476" spans="1:8" ht="15" customHeight="1" x14ac:dyDescent="0.2">
      <c r="A476" s="10" t="s">
        <v>641</v>
      </c>
      <c r="B476" s="10" t="str">
        <f>IFERROR(
    INDEX([1]FSHIP!B:B,MATCH(A476,[1]FSHIP!A:A,0)),
    IFERROR(
        INDEX([1]釣具商品ship!B:B,MATCH(A476,[1]釣具商品ship!A:A,0)),
        IFERROR(
            INDEX([1]玩具商品ship!B:B,MATCH(A476,[1]玩具商品ship!A:A,0)),
            IFERROR(
                INDEX([1]OEMship!B:B,MATCH(A476,[1]OEMship!A:A,0)),
                IFERROR(
                    INDEX([1]NV6ship!B:B,MATCH(A476,[1]NV6ship!A:A,0)),
                    IFERROR(
                        INDEX([1]NVship!B:B,MATCH(A476,[1]NVship!A:A,0)),
                        IFERROR(
                            INDEX([1]海ship!B:B,MATCH(A476,[1]海ship!A:A,0)),
                            IFERROR(
                                INDEX([1]ｾﾚship!B:B,MATCH(A476,[1]ｾﾚship!A:A,0)),
                                IFERROR(
                                    INDEX([1]ｾﾚﾓﾆｰ商品ship!B:B,MATCH(A476,[1]ｾﾚﾓﾆｰ商品ship!A:A,0)),
                                    INDEX([2]NV!D:D,MATCH(A476,[2]NV!C:C,0))
                                )
                            )
                        )
                    )
                )
            )
        )
    )
)</f>
        <v>業務用　ナイトライト２０Ｇ</v>
      </c>
      <c r="C476" s="4" t="s">
        <v>472</v>
      </c>
      <c r="D476" s="10" t="str">
        <f t="shared" si="21"/>
        <v>業務用　ナイトライト２０Ｇ ｜ 資材倉庫・ノベルティ【10】 ｜ A-1</v>
      </c>
      <c r="E476" s="11" t="str">
        <f t="shared" si="22"/>
        <v>資材倉庫・ノベルティ</v>
      </c>
      <c r="F476" s="12" t="s">
        <v>674</v>
      </c>
      <c r="G476" s="11" t="str">
        <f t="shared" si="23"/>
        <v>10・資材倉庫・ノベルティA-1</v>
      </c>
      <c r="H476" s="3"/>
    </row>
    <row r="477" spans="1:8" ht="15" customHeight="1" x14ac:dyDescent="0.2">
      <c r="A477" s="10" t="s">
        <v>642</v>
      </c>
      <c r="B477" s="10" t="str">
        <f>IFERROR(
    INDEX([1]FSHIP!B:B,MATCH(A477,[1]FSHIP!A:A,0)),
    IFERROR(
        INDEX([1]釣具商品ship!B:B,MATCH(A477,[1]釣具商品ship!A:A,0)),
        IFERROR(
            INDEX([1]玩具商品ship!B:B,MATCH(A477,[1]玩具商品ship!A:A,0)),
            IFERROR(
                INDEX([1]OEMship!B:B,MATCH(A477,[1]OEMship!A:A,0)),
                IFERROR(
                    INDEX([1]NV6ship!B:B,MATCH(A477,[1]NV6ship!A:A,0)),
                    IFERROR(
                        INDEX([1]NVship!B:B,MATCH(A477,[1]NVship!A:A,0)),
                        IFERROR(
                            INDEX([1]海ship!B:B,MATCH(A477,[1]海ship!A:A,0)),
                            IFERROR(
                                INDEX([1]ｾﾚship!B:B,MATCH(A477,[1]ｾﾚship!A:A,0)),
                                IFERROR(
                                    INDEX([1]ｾﾚﾓﾆｰ商品ship!B:B,MATCH(A477,[1]ｾﾚﾓﾆｰ商品ship!A:A,0)),
                                    INDEX([2]NV!D:D,MATCH(A477,[2]NV!C:C,0))
                                )
                            )
                        )
                    )
                )
            )
        )
    )
)</f>
        <v>業務用　ナイトライト２０Ｂ</v>
      </c>
      <c r="C477" s="4" t="s">
        <v>472</v>
      </c>
      <c r="D477" s="10" t="str">
        <f t="shared" si="21"/>
        <v>業務用　ナイトライト２０Ｂ ｜ 資材倉庫・ノベルティ【10】 ｜ A-1</v>
      </c>
      <c r="E477" s="11" t="str">
        <f t="shared" si="22"/>
        <v>資材倉庫・ノベルティ</v>
      </c>
      <c r="F477" s="12" t="s">
        <v>674</v>
      </c>
      <c r="G477" s="11" t="str">
        <f t="shared" si="23"/>
        <v>10・資材倉庫・ノベルティA-1</v>
      </c>
      <c r="H477" s="3"/>
    </row>
    <row r="478" spans="1:8" ht="15" customHeight="1" x14ac:dyDescent="0.2">
      <c r="A478" s="10" t="s">
        <v>643</v>
      </c>
      <c r="B478" s="10" t="str">
        <f>IFERROR(
    INDEX([1]FSHIP!B:B,MATCH(A478,[1]FSHIP!A:A,0)),
    IFERROR(
        INDEX([1]釣具商品ship!B:B,MATCH(A478,[1]釣具商品ship!A:A,0)),
        IFERROR(
            INDEX([1]玩具商品ship!B:B,MATCH(A478,[1]玩具商品ship!A:A,0)),
            IFERROR(
                INDEX([1]OEMship!B:B,MATCH(A478,[1]OEMship!A:A,0)),
                IFERROR(
                    INDEX([1]NV6ship!B:B,MATCH(A478,[1]NV6ship!A:A,0)),
                    IFERROR(
                        INDEX([1]NVship!B:B,MATCH(A478,[1]NVship!A:A,0)),
                        IFERROR(
                            INDEX([1]海ship!B:B,MATCH(A478,[1]海ship!A:A,0)),
                            IFERROR(
                                INDEX([1]ｾﾚship!B:B,MATCH(A478,[1]ｾﾚship!A:A,0)),
                                IFERROR(
                                    INDEX([1]ｾﾚﾓﾆｰ商品ship!B:B,MATCH(A478,[1]ｾﾚﾓﾆｰ商品ship!A:A,0)),
                                    INDEX([2]NV!D:D,MATCH(A478,[2]NV!C:C,0))
                                )
                            )
                        )
                    )
                )
            )
        )
    )
)</f>
        <v>業務用　ナイトライト２０Ｐ</v>
      </c>
      <c r="C478" s="4" t="s">
        <v>472</v>
      </c>
      <c r="D478" s="10" t="str">
        <f t="shared" si="21"/>
        <v>業務用　ナイトライト２０Ｐ ｜ 資材倉庫・ノベルティ【10】 ｜ A-1</v>
      </c>
      <c r="E478" s="11" t="str">
        <f t="shared" si="22"/>
        <v>資材倉庫・ノベルティ</v>
      </c>
      <c r="F478" s="12" t="s">
        <v>674</v>
      </c>
      <c r="G478" s="11" t="str">
        <f t="shared" si="23"/>
        <v>10・資材倉庫・ノベルティA-1</v>
      </c>
      <c r="H478" s="3"/>
    </row>
    <row r="479" spans="1:8" ht="15" customHeight="1" x14ac:dyDescent="0.2">
      <c r="A479" s="10" t="s">
        <v>644</v>
      </c>
      <c r="B479" s="10" t="str">
        <f>IFERROR(
    INDEX([1]FSHIP!B:B,MATCH(A479,[1]FSHIP!A:A,0)),
    IFERROR(
        INDEX([1]釣具商品ship!B:B,MATCH(A479,[1]釣具商品ship!A:A,0)),
        IFERROR(
            INDEX([1]玩具商品ship!B:B,MATCH(A479,[1]玩具商品ship!A:A,0)),
            IFERROR(
                INDEX([1]OEMship!B:B,MATCH(A479,[1]OEMship!A:A,0)),
                IFERROR(
                    INDEX([1]NV6ship!B:B,MATCH(A479,[1]NV6ship!A:A,0)),
                    IFERROR(
                        INDEX([1]NVship!B:B,MATCH(A479,[1]NVship!A:A,0)),
                        IFERROR(
                            INDEX([1]海ship!B:B,MATCH(A479,[1]海ship!A:A,0)),
                            IFERROR(
                                INDEX([1]ｾﾚship!B:B,MATCH(A479,[1]ｾﾚship!A:A,0)),
                                IFERROR(
                                    INDEX([1]ｾﾚﾓﾆｰ商品ship!B:B,MATCH(A479,[1]ｾﾚﾓﾆｰ商品ship!A:A,0)),
                                    INDEX([2]NV!D:D,MATCH(A479,[2]NV!C:C,0))
                                )
                            )
                        )
                    )
                )
            )
        )
    )
)</f>
        <v>業務用　ナイトライト２０Ｏ</v>
      </c>
      <c r="C479" s="4" t="s">
        <v>472</v>
      </c>
      <c r="D479" s="10" t="str">
        <f t="shared" si="21"/>
        <v>業務用　ナイトライト２０Ｏ ｜ 資材倉庫・ノベルティ【10】 ｜ A-1</v>
      </c>
      <c r="E479" s="11" t="str">
        <f t="shared" si="22"/>
        <v>資材倉庫・ノベルティ</v>
      </c>
      <c r="F479" s="12" t="s">
        <v>674</v>
      </c>
      <c r="G479" s="11" t="str">
        <f t="shared" si="23"/>
        <v>10・資材倉庫・ノベルティA-1</v>
      </c>
      <c r="H479" s="3"/>
    </row>
    <row r="480" spans="1:8" ht="15" customHeight="1" x14ac:dyDescent="0.2">
      <c r="A480" s="10" t="s">
        <v>645</v>
      </c>
      <c r="B480" s="10" t="str">
        <f>IFERROR(
    INDEX([1]FSHIP!B:B,MATCH(A480,[1]FSHIP!A:A,0)),
    IFERROR(
        INDEX([1]釣具商品ship!B:B,MATCH(A480,[1]釣具商品ship!A:A,0)),
        IFERROR(
            INDEX([1]玩具商品ship!B:B,MATCH(A480,[1]玩具商品ship!A:A,0)),
            IFERROR(
                INDEX([1]OEMship!B:B,MATCH(A480,[1]OEMship!A:A,0)),
                IFERROR(
                    INDEX([1]NV6ship!B:B,MATCH(A480,[1]NV6ship!A:A,0)),
                    IFERROR(
                        INDEX([1]NVship!B:B,MATCH(A480,[1]NVship!A:A,0)),
                        IFERROR(
                            INDEX([1]海ship!B:B,MATCH(A480,[1]海ship!A:A,0)),
                            IFERROR(
                                INDEX([1]ｾﾚship!B:B,MATCH(A480,[1]ｾﾚship!A:A,0)),
                                IFERROR(
                                    INDEX([1]ｾﾚﾓﾆｰ商品ship!B:B,MATCH(A480,[1]ｾﾚﾓﾆｰ商品ship!A:A,0)),
                                    INDEX([2]NV!D:D,MATCH(A480,[2]NV!C:C,0))
                                )
                            )
                        )
                    )
                )
            )
        )
    )
)</f>
        <v>業務用　ナイトライト２０Ｙ</v>
      </c>
      <c r="C480" s="4" t="s">
        <v>472</v>
      </c>
      <c r="D480" s="10" t="str">
        <f t="shared" si="21"/>
        <v>業務用　ナイトライト２０Ｙ ｜ 資材倉庫・ノベルティ【10】 ｜ A-1</v>
      </c>
      <c r="E480" s="11" t="str">
        <f t="shared" si="22"/>
        <v>資材倉庫・ノベルティ</v>
      </c>
      <c r="F480" s="12" t="s">
        <v>674</v>
      </c>
      <c r="G480" s="11" t="str">
        <f t="shared" si="23"/>
        <v>10・資材倉庫・ノベルティA-1</v>
      </c>
      <c r="H480" s="3"/>
    </row>
    <row r="481" spans="1:8" ht="15" customHeight="1" x14ac:dyDescent="0.2">
      <c r="A481" s="10" t="s">
        <v>646</v>
      </c>
      <c r="B481" s="10" t="str">
        <f>IFERROR(
    INDEX([1]FSHIP!B:B,MATCH(A481,[1]FSHIP!A:A,0)),
    IFERROR(
        INDEX([1]釣具商品ship!B:B,MATCH(A481,[1]釣具商品ship!A:A,0)),
        IFERROR(
            INDEX([1]玩具商品ship!B:B,MATCH(A481,[1]玩具商品ship!A:A,0)),
            IFERROR(
                INDEX([1]OEMship!B:B,MATCH(A481,[1]OEMship!A:A,0)),
                IFERROR(
                    INDEX([1]NV6ship!B:B,MATCH(A481,[1]NV6ship!A:A,0)),
                    IFERROR(
                        INDEX([1]NVship!B:B,MATCH(A481,[1]NVship!A:A,0)),
                        IFERROR(
                            INDEX([1]海ship!B:B,MATCH(A481,[1]海ship!A:A,0)),
                            IFERROR(
                                INDEX([1]ｾﾚship!B:B,MATCH(A481,[1]ｾﾚship!A:A,0)),
                                IFERROR(
                                    INDEX([1]ｾﾚﾓﾆｰ商品ship!B:B,MATCH(A481,[1]ｾﾚﾓﾆｰ商品ship!A:A,0)),
                                    INDEX([2]NV!D:D,MATCH(A481,[2]NV!C:C,0))
                                )
                            )
                        )
                    )
                )
            )
        )
    )
)</f>
        <v>業務用　ナイトライト２０Ｒ</v>
      </c>
      <c r="C481" s="4" t="s">
        <v>472</v>
      </c>
      <c r="D481" s="10" t="str">
        <f t="shared" si="21"/>
        <v>業務用　ナイトライト２０Ｒ ｜ 資材倉庫・ノベルティ【10】 ｜ A-1</v>
      </c>
      <c r="E481" s="11" t="str">
        <f t="shared" si="22"/>
        <v>資材倉庫・ノベルティ</v>
      </c>
      <c r="F481" s="12" t="s">
        <v>674</v>
      </c>
      <c r="G481" s="11" t="str">
        <f t="shared" si="23"/>
        <v>10・資材倉庫・ノベルティA-1</v>
      </c>
      <c r="H481" s="3"/>
    </row>
    <row r="482" spans="1:8" ht="15" customHeight="1" x14ac:dyDescent="0.2">
      <c r="A482" s="10" t="s">
        <v>673</v>
      </c>
      <c r="B482" s="10" t="str">
        <f>IFERROR(
    INDEX([1]FSHIP!B:B,MATCH(A482,[1]FSHIP!A:A,0)),
    IFERROR(
        INDEX([1]釣具商品ship!B:B,MATCH(A482,[1]釣具商品ship!A:A,0)),
        IFERROR(
            INDEX([1]玩具商品ship!B:B,MATCH(A482,[1]玩具商品ship!A:A,0)),
            IFERROR(
                INDEX([1]OEMship!B:B,MATCH(A482,[1]OEMship!A:A,0)),
                IFERROR(
                    INDEX([1]NV6ship!B:B,MATCH(A482,[1]NV6ship!A:A,0)),
                    IFERROR(
                        INDEX([1]NVship!B:B,MATCH(A482,[1]NVship!A:A,0)),
                        IFERROR(
                            INDEX([1]海ship!B:B,MATCH(A482,[1]海ship!A:A,0)),
                            IFERROR(
                                INDEX([1]ｾﾚship!B:B,MATCH(A482,[1]ｾﾚship!A:A,0)),
                                IFERROR(
                                    INDEX([1]ｾﾚﾓﾆｰ商品ship!B:B,MATCH(A482,[1]ｾﾚﾓﾆｰ商品ship!A:A,0)),
                                    INDEX([2]NV!D:D,MATCH(A482,[2]NV!C:C,0))
                                )
                            )
                        )
                    )
                )
            )
        )
    )
)</f>
        <v>業務用　ナイトライト２０Ｗ</v>
      </c>
      <c r="C482" s="4" t="s">
        <v>472</v>
      </c>
      <c r="D482" s="10" t="str">
        <f t="shared" si="21"/>
        <v>業務用　ナイトライト２０Ｗ ｜ 資材倉庫・ノベルティ【10】 ｜ A-1</v>
      </c>
      <c r="E482" s="11" t="str">
        <f t="shared" si="22"/>
        <v>資材倉庫・ノベルティ</v>
      </c>
      <c r="F482" s="12" t="s">
        <v>674</v>
      </c>
      <c r="G482" s="11" t="str">
        <f t="shared" si="23"/>
        <v>10・資材倉庫・ノベルティA-1</v>
      </c>
      <c r="H482" s="3"/>
    </row>
    <row r="483" spans="1:8" ht="15" customHeight="1" x14ac:dyDescent="0.2">
      <c r="A483" s="10" t="s">
        <v>647</v>
      </c>
      <c r="B483" s="10" t="str">
        <f>IFERROR(
    INDEX([1]FSHIP!B:B,MATCH(A483,[1]FSHIP!A:A,0)),
    IFERROR(
        INDEX([1]釣具商品ship!B:B,MATCH(A483,[1]釣具商品ship!A:A,0)),
        IFERROR(
            INDEX([1]玩具商品ship!B:B,MATCH(A483,[1]玩具商品ship!A:A,0)),
            IFERROR(
                INDEX([1]OEMship!B:B,MATCH(A483,[1]OEMship!A:A,0)),
                IFERROR(
                    INDEX([1]NV6ship!B:B,MATCH(A483,[1]NV6ship!A:A,0)),
                    IFERROR(
                        INDEX([1]NVship!B:B,MATCH(A483,[1]NVship!A:A,0)),
                        IFERROR(
                            INDEX([1]海ship!B:B,MATCH(A483,[1]海ship!A:A,0)),
                            IFERROR(
                                INDEX([1]ｾﾚship!B:B,MATCH(A483,[1]ｾﾚship!A:A,0)),
                                IFERROR(
                                    INDEX([1]ｾﾚﾓﾆｰ商品ship!B:B,MATCH(A483,[1]ｾﾚﾓﾆｰ商品ship!A:A,0)),
                                    INDEX([2]NV!D:D,MATCH(A483,[2]NV!C:C,0))
                                )
                            )
                        )
                    )
                )
            )
        )
    )
)</f>
        <v>業務用　ナイトライト２０ＧＢＰ</v>
      </c>
      <c r="C483" s="4" t="s">
        <v>472</v>
      </c>
      <c r="D483" s="10" t="str">
        <f t="shared" si="21"/>
        <v>業務用　ナイトライト２０ＧＢＰ ｜ 資材倉庫・ノベルティ【10】 ｜ A-1</v>
      </c>
      <c r="E483" s="11" t="str">
        <f t="shared" si="22"/>
        <v>資材倉庫・ノベルティ</v>
      </c>
      <c r="F483" s="12" t="s">
        <v>674</v>
      </c>
      <c r="G483" s="11" t="str">
        <f t="shared" si="23"/>
        <v>10・資材倉庫・ノベルティA-1</v>
      </c>
      <c r="H483" s="3"/>
    </row>
    <row r="484" spans="1:8" ht="15" customHeight="1" x14ac:dyDescent="0.2">
      <c r="A484" s="10" t="s">
        <v>516</v>
      </c>
      <c r="B484" s="10" t="str">
        <f>IFERROR(
    INDEX([1]FSHIP!B:B,MATCH(A484,[1]FSHIP!A:A,0)),
    IFERROR(
        INDEX([1]釣具商品ship!B:B,MATCH(A484,[1]釣具商品ship!A:A,0)),
        IFERROR(
            INDEX([1]玩具商品ship!B:B,MATCH(A484,[1]玩具商品ship!A:A,0)),
            IFERROR(
                INDEX([1]OEMship!B:B,MATCH(A484,[1]OEMship!A:A,0)),
                IFERROR(
                    INDEX([1]NV6ship!B:B,MATCH(A484,[1]NV6ship!A:A,0)),
                    IFERROR(
                        INDEX([1]NVship!B:B,MATCH(A484,[1]NVship!A:A,0)),
                        IFERROR(
                            INDEX([1]海ship!B:B,MATCH(A484,[1]海ship!A:A,0)),
                            IFERROR(
                                INDEX([1]ｾﾚship!B:B,MATCH(A484,[1]ｾﾚship!A:A,0)),
                                IFERROR(
                                    INDEX([1]ｾﾚﾓﾆｰ商品ship!B:B,MATCH(A484,[1]ｾﾚﾓﾆｰ商品ship!A:A,0)),
                                    INDEX([2]NV!D:D,MATCH(A484,[2]NV!C:C,0))
                                )
                            )
                        )
                    )
                )
            )
        )
    )
)</f>
        <v>ベンダー光るイヤリング　ＢＰ</v>
      </c>
      <c r="C484" s="4" t="s">
        <v>529</v>
      </c>
      <c r="D484" s="4" t="str">
        <f t="shared" si="21"/>
        <v>ベンダー光るイヤリング　ＢＰ ｜ 資材倉庫・ノベルティ【10】 ｜ Q-1</v>
      </c>
      <c r="E484" s="11" t="str">
        <f t="shared" si="22"/>
        <v>資材倉庫・ノベルティ</v>
      </c>
      <c r="F484" s="12" t="s">
        <v>477</v>
      </c>
      <c r="G484" s="11" t="str">
        <f t="shared" si="23"/>
        <v>10・資材倉庫・ノベルティQ-1</v>
      </c>
      <c r="H484" s="3"/>
    </row>
    <row r="485" spans="1:8" ht="15" customHeight="1" x14ac:dyDescent="0.2">
      <c r="A485" s="10" t="s">
        <v>517</v>
      </c>
      <c r="B485" s="10" t="str">
        <f>IFERROR(
    INDEX([1]FSHIP!B:B,MATCH(A485,[1]FSHIP!A:A,0)),
    IFERROR(
        INDEX([1]釣具商品ship!B:B,MATCH(A485,[1]釣具商品ship!A:A,0)),
        IFERROR(
            INDEX([1]玩具商品ship!B:B,MATCH(A485,[1]玩具商品ship!A:A,0)),
            IFERROR(
                INDEX([1]OEMship!B:B,MATCH(A485,[1]OEMship!A:A,0)),
                IFERROR(
                    INDEX([1]NV6ship!B:B,MATCH(A485,[1]NV6ship!A:A,0)),
                    IFERROR(
                        INDEX([1]NVship!B:B,MATCH(A485,[1]NVship!A:A,0)),
                        IFERROR(
                            INDEX([1]海ship!B:B,MATCH(A485,[1]海ship!A:A,0)),
                            IFERROR(
                                INDEX([1]ｾﾚship!B:B,MATCH(A485,[1]ｾﾚship!A:A,0)),
                                IFERROR(
                                    INDEX([1]ｾﾚﾓﾆｰ商品ship!B:B,MATCH(A485,[1]ｾﾚﾓﾆｰ商品ship!A:A,0)),
                                    INDEX([2]NV!D:D,MATCH(A485,[2]NV!C:C,0))
                                )
                            )
                        )
                    )
                )
            )
        )
    )
)</f>
        <v>ファンシーバトン　Ｐ　ハート</v>
      </c>
      <c r="C485" s="4" t="s">
        <v>529</v>
      </c>
      <c r="D485" s="4" t="str">
        <f t="shared" si="21"/>
        <v>ファンシーバトン　Ｐ　ハート ｜ 資材倉庫・ノベルティ【10】 ｜ Q-1</v>
      </c>
      <c r="E485" s="11" t="str">
        <f t="shared" si="22"/>
        <v>資材倉庫・ノベルティ</v>
      </c>
      <c r="F485" s="12" t="s">
        <v>477</v>
      </c>
      <c r="G485" s="11" t="str">
        <f t="shared" si="23"/>
        <v>10・資材倉庫・ノベルティQ-1</v>
      </c>
      <c r="H485" s="3"/>
    </row>
    <row r="486" spans="1:8" ht="15" customHeight="1" x14ac:dyDescent="0.2">
      <c r="A486" s="10" t="s">
        <v>518</v>
      </c>
      <c r="B486" s="10" t="str">
        <f>IFERROR(
    INDEX([1]FSHIP!B:B,MATCH(A486,[1]FSHIP!A:A,0)),
    IFERROR(
        INDEX([1]釣具商品ship!B:B,MATCH(A486,[1]釣具商品ship!A:A,0)),
        IFERROR(
            INDEX([1]玩具商品ship!B:B,MATCH(A486,[1]玩具商品ship!A:A,0)),
            IFERROR(
                INDEX([1]OEMship!B:B,MATCH(A486,[1]OEMship!A:A,0)),
                IFERROR(
                    INDEX([1]NV6ship!B:B,MATCH(A486,[1]NV6ship!A:A,0)),
                    IFERROR(
                        INDEX([1]NVship!B:B,MATCH(A486,[1]NVship!A:A,0)),
                        IFERROR(
                            INDEX([1]海ship!B:B,MATCH(A486,[1]海ship!A:A,0)),
                            IFERROR(
                                INDEX([1]ｾﾚship!B:B,MATCH(A486,[1]ｾﾚship!A:A,0)),
                                IFERROR(
                                    INDEX([1]ｾﾚﾓﾆｰ商品ship!B:B,MATCH(A486,[1]ｾﾚﾓﾆｰ商品ship!A:A,0)),
                                    INDEX([2]NV!D:D,MATCH(A486,[2]NV!C:C,0))
                                )
                            )
                        )
                    )
                )
            )
        )
    )
)</f>
        <v>ファンシーバトン　Ｙ　スター</v>
      </c>
      <c r="C486" s="4" t="s">
        <v>529</v>
      </c>
      <c r="D486" s="4" t="str">
        <f t="shared" si="21"/>
        <v>ファンシーバトン　Ｙ　スター ｜ 資材倉庫・ノベルティ【10】 ｜ Q-1</v>
      </c>
      <c r="E486" s="11" t="str">
        <f t="shared" si="22"/>
        <v>資材倉庫・ノベルティ</v>
      </c>
      <c r="F486" s="12" t="s">
        <v>477</v>
      </c>
      <c r="G486" s="11" t="str">
        <f t="shared" si="23"/>
        <v>10・資材倉庫・ノベルティQ-1</v>
      </c>
      <c r="H486" s="3"/>
    </row>
    <row r="487" spans="1:8" ht="15" customHeight="1" x14ac:dyDescent="0.2">
      <c r="A487" s="10" t="s">
        <v>494</v>
      </c>
      <c r="B487" s="10" t="str">
        <f>IFERROR(
    INDEX([1]FSHIP!B:B,MATCH(A487,[1]FSHIP!A:A,0)),
    IFERROR(
        INDEX([1]釣具商品ship!B:B,MATCH(A487,[1]釣具商品ship!A:A,0)),
        IFERROR(
            INDEX([1]玩具商品ship!B:B,MATCH(A487,[1]玩具商品ship!A:A,0)),
            IFERROR(
                INDEX([1]OEMship!B:B,MATCH(A487,[1]OEMship!A:A,0)),
                IFERROR(
                    INDEX([1]NV6ship!B:B,MATCH(A487,[1]NV6ship!A:A,0)),
                    IFERROR(
                        INDEX([1]NVship!B:B,MATCH(A487,[1]NVship!A:A,0)),
                        IFERROR(
                            INDEX([1]海ship!B:B,MATCH(A487,[1]海ship!A:A,0)),
                            IFERROR(
                                INDEX([1]ｾﾚship!B:B,MATCH(A487,[1]ｾﾚship!A:A,0)),
                                IFERROR(
                                    INDEX([1]ｾﾚﾓﾆｰ商品ship!B:B,MATCH(A487,[1]ｾﾚﾓﾆｰ商品ship!A:A,0)),
                                    INDEX([2]NV!D:D,MATCH(A487,[2]NV!C:C,0))
                                )
                            )
                        )
                    )
                )
            )
        )
    )
)</f>
        <v>光る棒人間 ネオンパーティー</v>
      </c>
      <c r="C487" s="4" t="s">
        <v>382</v>
      </c>
      <c r="D487" s="10" t="str">
        <f t="shared" si="21"/>
        <v>光る棒人間 ネオンパーティー ｜ 資材倉庫・ノベルティ【10】 ｜ N-1</v>
      </c>
      <c r="E487" s="11" t="str">
        <f t="shared" si="22"/>
        <v>資材倉庫・ノベルティ</v>
      </c>
      <c r="F487" s="12" t="s">
        <v>477</v>
      </c>
      <c r="G487" s="11" t="str">
        <f t="shared" si="23"/>
        <v>10・資材倉庫・ノベルティN-1</v>
      </c>
      <c r="H487" s="3"/>
    </row>
    <row r="488" spans="1:8" ht="15" customHeight="1" x14ac:dyDescent="0.2">
      <c r="A488" s="10" t="s">
        <v>497</v>
      </c>
      <c r="B488" s="10" t="str">
        <f>IFERROR(
    INDEX([1]FSHIP!B:B,MATCH(A488,[1]FSHIP!A:A,0)),
    IFERROR(
        INDEX([1]釣具商品ship!B:B,MATCH(A488,[1]釣具商品ship!A:A,0)),
        IFERROR(
            INDEX([1]玩具商品ship!B:B,MATCH(A488,[1]玩具商品ship!A:A,0)),
            IFERROR(
                INDEX([1]OEMship!B:B,MATCH(A488,[1]OEMship!A:A,0)),
                IFERROR(
                    INDEX([1]NV6ship!B:B,MATCH(A488,[1]NV6ship!A:A,0)),
                    IFERROR(
                        INDEX([1]NVship!B:B,MATCH(A488,[1]NVship!A:A,0)),
                        IFERROR(
                            INDEX([1]海ship!B:B,MATCH(A488,[1]海ship!A:A,0)),
                            IFERROR(
                                INDEX([1]ｾﾚship!B:B,MATCH(A488,[1]ｾﾚship!A:A,0)),
                                IFERROR(
                                    INDEX([1]ｾﾚﾓﾆｰ商品ship!B:B,MATCH(A488,[1]ｾﾚﾓﾆｰ商品ship!A:A,0)),
                                    INDEX([2]NV!D:D,MATCH(A488,[2]NV!C:C,0))
                                )
                            )
                        )
                    )
                )
            )
        )
    )
)</f>
        <v>光るルミカメガネ グリーン</v>
      </c>
      <c r="C488" s="4" t="s">
        <v>503</v>
      </c>
      <c r="D488" s="4" t="str">
        <f t="shared" si="21"/>
        <v>光るルミカメガネ グリーン ｜ 資材倉庫・ノベルティ【10】 ｜ O-1</v>
      </c>
      <c r="E488" s="11" t="str">
        <f t="shared" si="22"/>
        <v>資材倉庫・ノベルティ</v>
      </c>
      <c r="F488" s="12" t="s">
        <v>477</v>
      </c>
      <c r="G488" s="11" t="str">
        <f t="shared" si="23"/>
        <v>10・資材倉庫・ノベルティO-1</v>
      </c>
      <c r="H488" s="3"/>
    </row>
    <row r="489" spans="1:8" ht="15" customHeight="1" x14ac:dyDescent="0.2">
      <c r="A489" s="10" t="s">
        <v>691</v>
      </c>
      <c r="B489" s="10" t="str">
        <f>IFERROR(
    INDEX([1]FSHIP!B:B,MATCH(A489,[1]FSHIP!A:A,0)),
    IFERROR(
        INDEX([1]釣具商品ship!B:B,MATCH(A489,[1]釣具商品ship!A:A,0)),
        IFERROR(
            INDEX([1]玩具商品ship!B:B,MATCH(A489,[1]玩具商品ship!A:A,0)),
            IFERROR(
                INDEX([1]OEMship!B:B,MATCH(A489,[1]OEMship!A:A,0)),
                IFERROR(
                    INDEX([1]NV6ship!B:B,MATCH(A489,[1]NV6ship!A:A,0)),
                    IFERROR(
                        INDEX([1]NVship!B:B,MATCH(A489,[1]NVship!A:A,0)),
                        IFERROR(
                            INDEX([1]海ship!B:B,MATCH(A489,[1]海ship!A:A,0)),
                            IFERROR(
                                INDEX([1]ｾﾚship!B:B,MATCH(A489,[1]ｾﾚship!A:A,0)),
                                IFERROR(
                                    INDEX([1]ｾﾚﾓﾆｰ商品ship!B:B,MATCH(A489,[1]ｾﾚﾓﾆｰ商品ship!A:A,0)),
                                    INDEX([2]NV!D:D,MATCH(A489,[2]NV!C:C,0))
                                )
                            )
                        )
                    )
                )
            )
        )
    )
)</f>
        <v>光るルミカメガネ ブルー</v>
      </c>
      <c r="C489" s="4" t="s">
        <v>690</v>
      </c>
      <c r="D489" s="4" t="str">
        <f t="shared" si="21"/>
        <v>光るルミカメガネ ブルー ｜ 資材倉庫・ノベルティ【10】 ｜ O-1</v>
      </c>
      <c r="E489" s="11" t="str">
        <f t="shared" si="22"/>
        <v>資材倉庫・ノベルティ</v>
      </c>
      <c r="F489" s="12" t="s">
        <v>688</v>
      </c>
      <c r="G489" s="11" t="str">
        <f t="shared" si="23"/>
        <v>10・資材倉庫・ノベルティO-1</v>
      </c>
      <c r="H489" s="3"/>
    </row>
    <row r="490" spans="1:8" ht="15" customHeight="1" x14ac:dyDescent="0.2">
      <c r="A490" s="10" t="s">
        <v>498</v>
      </c>
      <c r="B490" s="10" t="str">
        <f>IFERROR(
    INDEX([1]FSHIP!B:B,MATCH(A490,[1]FSHIP!A:A,0)),
    IFERROR(
        INDEX([1]釣具商品ship!B:B,MATCH(A490,[1]釣具商品ship!A:A,0)),
        IFERROR(
            INDEX([1]玩具商品ship!B:B,MATCH(A490,[1]玩具商品ship!A:A,0)),
            IFERROR(
                INDEX([1]OEMship!B:B,MATCH(A490,[1]OEMship!A:A,0)),
                IFERROR(
                    INDEX([1]NV6ship!B:B,MATCH(A490,[1]NV6ship!A:A,0)),
                    IFERROR(
                        INDEX([1]NVship!B:B,MATCH(A490,[1]NVship!A:A,0)),
                        IFERROR(
                            INDEX([1]海ship!B:B,MATCH(A490,[1]海ship!A:A,0)),
                            IFERROR(
                                INDEX([1]ｾﾚship!B:B,MATCH(A490,[1]ｾﾚship!A:A,0)),
                                IFERROR(
                                    INDEX([1]ｾﾚﾓﾆｰ商品ship!B:B,MATCH(A490,[1]ｾﾚﾓﾆｰ商品ship!A:A,0)),
                                    INDEX([2]NV!D:D,MATCH(A490,[2]NV!C:C,0))
                                )
                            )
                        )
                    )
                )
            )
        )
    )
)</f>
        <v>光るルミカメガネ ピンク</v>
      </c>
      <c r="C490" s="4" t="s">
        <v>503</v>
      </c>
      <c r="D490" s="4" t="str">
        <f t="shared" si="21"/>
        <v>光るルミカメガネ ピンク ｜ 資材倉庫・ノベルティ【10】 ｜ O-1</v>
      </c>
      <c r="E490" s="11" t="str">
        <f t="shared" si="22"/>
        <v>資材倉庫・ノベルティ</v>
      </c>
      <c r="F490" s="12" t="s">
        <v>477</v>
      </c>
      <c r="G490" s="11" t="str">
        <f t="shared" si="23"/>
        <v>10・資材倉庫・ノベルティO-1</v>
      </c>
      <c r="H490" s="3"/>
    </row>
    <row r="491" spans="1:8" ht="15" customHeight="1" x14ac:dyDescent="0.2">
      <c r="A491" s="10" t="s">
        <v>530</v>
      </c>
      <c r="B491" s="10" t="str">
        <f>IFERROR(
    INDEX([1]FSHIP!B:B,MATCH(A491,[1]FSHIP!A:A,0)),
    IFERROR(
        INDEX([1]釣具商品ship!B:B,MATCH(A491,[1]釣具商品ship!A:A,0)),
        IFERROR(
            INDEX([1]玩具商品ship!B:B,MATCH(A491,[1]玩具商品ship!A:A,0)),
            IFERROR(
                INDEX([1]OEMship!B:B,MATCH(A491,[1]OEMship!A:A,0)),
                IFERROR(
                    INDEX([1]NV6ship!B:B,MATCH(A491,[1]NV6ship!A:A,0)),
                    IFERROR(
                        INDEX([1]NVship!B:B,MATCH(A491,[1]NVship!A:A,0)),
                        IFERROR(
                            INDEX([1]海ship!B:B,MATCH(A491,[1]海ship!A:A,0)),
                            IFERROR(
                                INDEX([1]ｾﾚship!B:B,MATCH(A491,[1]ｾﾚship!A:A,0)),
                                IFERROR(
                                    INDEX([1]ｾﾚﾓﾆｰ商品ship!B:B,MATCH(A491,[1]ｾﾚﾓﾆｰ商品ship!A:A,0)),
                                    INDEX([2]NV!D:D,MATCH(A491,[2]NV!C:C,0))
                                )
                            )
                        )
                    )
                )
            )
        )
    )
)</f>
        <v>光るルミカカチューシャ グリーン</v>
      </c>
      <c r="C491" s="4" t="s">
        <v>457</v>
      </c>
      <c r="D491" s="4" t="str">
        <f t="shared" si="21"/>
        <v>光るルミカカチューシャ グリーン ｜ 1Fノベルティ【03】 ｜ D-1</v>
      </c>
      <c r="E491" s="11" t="str">
        <f t="shared" si="22"/>
        <v>1Fノベルティ</v>
      </c>
      <c r="F491" s="12" t="s">
        <v>26</v>
      </c>
      <c r="G491" s="11" t="str">
        <f t="shared" si="23"/>
        <v>03・1FノベルティD-1</v>
      </c>
      <c r="H491" s="3"/>
    </row>
    <row r="492" spans="1:8" ht="15" customHeight="1" x14ac:dyDescent="0.2">
      <c r="A492" s="10" t="s">
        <v>531</v>
      </c>
      <c r="B492" s="10" t="str">
        <f>IFERROR(
    INDEX([1]FSHIP!B:B,MATCH(A492,[1]FSHIP!A:A,0)),
    IFERROR(
        INDEX([1]釣具商品ship!B:B,MATCH(A492,[1]釣具商品ship!A:A,0)),
        IFERROR(
            INDEX([1]玩具商品ship!B:B,MATCH(A492,[1]玩具商品ship!A:A,0)),
            IFERROR(
                INDEX([1]OEMship!B:B,MATCH(A492,[1]OEMship!A:A,0)),
                IFERROR(
                    INDEX([1]NV6ship!B:B,MATCH(A492,[1]NV6ship!A:A,0)),
                    IFERROR(
                        INDEX([1]NVship!B:B,MATCH(A492,[1]NVship!A:A,0)),
                        IFERROR(
                            INDEX([1]海ship!B:B,MATCH(A492,[1]海ship!A:A,0)),
                            IFERROR(
                                INDEX([1]ｾﾚship!B:B,MATCH(A492,[1]ｾﾚship!A:A,0)),
                                IFERROR(
                                    INDEX([1]ｾﾚﾓﾆｰ商品ship!B:B,MATCH(A492,[1]ｾﾚﾓﾆｰ商品ship!A:A,0)),
                                    INDEX([2]NV!D:D,MATCH(A492,[2]NV!C:C,0))
                                )
                            )
                        )
                    )
                )
            )
        )
    )
)</f>
        <v>光るルミカカチューシャ ブルー</v>
      </c>
      <c r="C492" s="4" t="s">
        <v>457</v>
      </c>
      <c r="D492" s="4" t="str">
        <f t="shared" si="21"/>
        <v>光るルミカカチューシャ ブルー ｜ 1Fノベルティ【03】 ｜ D-1</v>
      </c>
      <c r="E492" s="11" t="str">
        <f t="shared" si="22"/>
        <v>1Fノベルティ</v>
      </c>
      <c r="F492" s="12" t="s">
        <v>26</v>
      </c>
      <c r="G492" s="11" t="str">
        <f t="shared" si="23"/>
        <v>03・1FノベルティD-1</v>
      </c>
      <c r="H492" s="3"/>
    </row>
    <row r="493" spans="1:8" ht="15" customHeight="1" x14ac:dyDescent="0.2">
      <c r="A493" s="10" t="s">
        <v>532</v>
      </c>
      <c r="B493" s="10" t="str">
        <f>IFERROR(
    INDEX([1]FSHIP!B:B,MATCH(A493,[1]FSHIP!A:A,0)),
    IFERROR(
        INDEX([1]釣具商品ship!B:B,MATCH(A493,[1]釣具商品ship!A:A,0)),
        IFERROR(
            INDEX([1]玩具商品ship!B:B,MATCH(A493,[1]玩具商品ship!A:A,0)),
            IFERROR(
                INDEX([1]OEMship!B:B,MATCH(A493,[1]OEMship!A:A,0)),
                IFERROR(
                    INDEX([1]NV6ship!B:B,MATCH(A493,[1]NV6ship!A:A,0)),
                    IFERROR(
                        INDEX([1]NVship!B:B,MATCH(A493,[1]NVship!A:A,0)),
                        IFERROR(
                            INDEX([1]海ship!B:B,MATCH(A493,[1]海ship!A:A,0)),
                            IFERROR(
                                INDEX([1]ｾﾚship!B:B,MATCH(A493,[1]ｾﾚship!A:A,0)),
                                IFERROR(
                                    INDEX([1]ｾﾚﾓﾆｰ商品ship!B:B,MATCH(A493,[1]ｾﾚﾓﾆｰ商品ship!A:A,0)),
                                    INDEX([2]NV!D:D,MATCH(A493,[2]NV!C:C,0))
                                )
                            )
                        )
                    )
                )
            )
        )
    )
)</f>
        <v>光るルミカカチューシャ ピンク</v>
      </c>
      <c r="C493" s="4" t="s">
        <v>457</v>
      </c>
      <c r="D493" s="4" t="str">
        <f t="shared" si="21"/>
        <v>光るルミカカチューシャ ピンク ｜ 1Fノベルティ【03】 ｜ D-1</v>
      </c>
      <c r="E493" s="11" t="str">
        <f t="shared" si="22"/>
        <v>1Fノベルティ</v>
      </c>
      <c r="F493" s="12" t="s">
        <v>26</v>
      </c>
      <c r="G493" s="11" t="str">
        <f t="shared" si="23"/>
        <v>03・1FノベルティD-1</v>
      </c>
      <c r="H493" s="3"/>
    </row>
    <row r="494" spans="1:8" ht="15" customHeight="1" x14ac:dyDescent="0.2">
      <c r="A494" s="14" t="s">
        <v>796</v>
      </c>
      <c r="B494" s="10" t="str">
        <f>IFERROR(
    INDEX([1]FSHIP!B:B,MATCH(A494,[1]FSHIP!A:A,0)),
    IFERROR(
        INDEX([1]釣具商品ship!B:B,MATCH(A494,[1]釣具商品ship!A:A,0)),
        IFERROR(
            INDEX([1]玩具商品ship!B:B,MATCH(A494,[1]玩具商品ship!A:A,0)),
            IFERROR(
                INDEX([1]OEMship!B:B,MATCH(A494,[1]OEMship!A:A,0)),
                IFERROR(
                    INDEX([1]NV6ship!B:B,MATCH(A494,[1]NV6ship!A:A,0)),
                    IFERROR(
                        INDEX([1]NVship!B:B,MATCH(A494,[1]NVship!A:A,0)),
                        IFERROR(
                            INDEX([1]海ship!B:B,MATCH(A494,[1]海ship!A:A,0)),
                            IFERROR(
                                INDEX([1]ｾﾚship!B:B,MATCH(A494,[1]ｾﾚship!A:A,0)),
                                IFERROR(
                                    INDEX([1]ｾﾚﾓﾆｰ商品ship!B:B,MATCH(A494,[1]ｾﾚﾓﾆｰ商品ship!A:A,0)),
                                    INDEX([2]NV!D:D,MATCH(A494,[2]NV!C:C,0))
                                )
                            )
                        )
                    )
                )
            )
        )
    )
)</f>
        <v>ロープマーカー</v>
      </c>
      <c r="C494" s="16" t="s">
        <v>799</v>
      </c>
      <c r="D494" s="4" t="str">
        <f t="shared" si="21"/>
        <v>ロープマーカー ｜ 資材倉庫・2F【X99】 ｜ 2F</v>
      </c>
      <c r="E494" s="11" t="str">
        <f t="shared" si="22"/>
        <v>資材倉庫・2F</v>
      </c>
      <c r="F494" s="12" t="s">
        <v>748</v>
      </c>
      <c r="G494" s="11" t="str">
        <f t="shared" si="23"/>
        <v>X99・資材倉庫・2F2F</v>
      </c>
      <c r="H494" s="3"/>
    </row>
    <row r="495" spans="1:8" ht="15" customHeight="1" x14ac:dyDescent="0.2">
      <c r="A495" s="14" t="s">
        <v>797</v>
      </c>
      <c r="B495" s="10" t="str">
        <f>IFERROR(
    INDEX([1]FSHIP!B:B,MATCH(A495,[1]FSHIP!A:A,0)),
    IFERROR(
        INDEX([1]釣具商品ship!B:B,MATCH(A495,[1]釣具商品ship!A:A,0)),
        IFERROR(
            INDEX([1]玩具商品ship!B:B,MATCH(A495,[1]玩具商品ship!A:A,0)),
            IFERROR(
                INDEX([1]OEMship!B:B,MATCH(A495,[1]OEMship!A:A,0)),
                IFERROR(
                    INDEX([1]NV6ship!B:B,MATCH(A495,[1]NV6ship!A:A,0)),
                    IFERROR(
                        INDEX([1]NVship!B:B,MATCH(A495,[1]NVship!A:A,0)),
                        IFERROR(
                            INDEX([1]海ship!B:B,MATCH(A495,[1]海ship!A:A,0)),
                            IFERROR(
                                INDEX([1]ｾﾚship!B:B,MATCH(A495,[1]ｾﾚship!A:A,0)),
                                IFERROR(
                                    INDEX([1]ｾﾚﾓﾆｰ商品ship!B:B,MATCH(A495,[1]ｾﾚﾓﾆｰ商品ship!A:A,0)),
                                    INDEX([2]NV!D:D,MATCH(A495,[2]NV!C:C,0))
                                )
                            )
                        )
                    )
                )
            )
        )
    )
)</f>
        <v>ｷﾗｷﾗﾋﾞｰｽﾞの芳香剤を作ってみよう！</v>
      </c>
      <c r="C495" s="16" t="s">
        <v>799</v>
      </c>
      <c r="D495" s="4" t="str">
        <f t="shared" si="21"/>
        <v>ｷﾗｷﾗﾋﾞｰｽﾞの芳香剤を作ってみよう！ ｜ 資材倉庫・2F【X99】 ｜ 2F</v>
      </c>
      <c r="E495" s="11" t="str">
        <f t="shared" si="22"/>
        <v>資材倉庫・2F</v>
      </c>
      <c r="F495" s="12" t="s">
        <v>748</v>
      </c>
      <c r="G495" s="11" t="str">
        <f t="shared" si="23"/>
        <v>X99・資材倉庫・2F2F</v>
      </c>
      <c r="H495" s="3"/>
    </row>
    <row r="496" spans="1:8" ht="15" customHeight="1" x14ac:dyDescent="0.2">
      <c r="A496" s="10" t="s">
        <v>677</v>
      </c>
      <c r="B496" s="10" t="str">
        <f>IFERROR(
    INDEX([1]FSHIP!B:B,MATCH(A496,[1]FSHIP!A:A,0)),
    IFERROR(
        INDEX([1]釣具商品ship!B:B,MATCH(A496,[1]釣具商品ship!A:A,0)),
        IFERROR(
            INDEX([1]玩具商品ship!B:B,MATCH(A496,[1]玩具商品ship!A:A,0)),
            IFERROR(
                INDEX([1]OEMship!B:B,MATCH(A496,[1]OEMship!A:A,0)),
                IFERROR(
                    INDEX([1]NV6ship!B:B,MATCH(A496,[1]NV6ship!A:A,0)),
                    IFERROR(
                        INDEX([1]NVship!B:B,MATCH(A496,[1]NVship!A:A,0)),
                        IFERROR(
                            INDEX([1]海ship!B:B,MATCH(A496,[1]海ship!A:A,0)),
                            IFERROR(
                                INDEX([1]ｾﾚship!B:B,MATCH(A496,[1]ｾﾚship!A:A,0)),
                                IFERROR(
                                    INDEX([1]ｾﾚﾓﾆｰ商品ship!B:B,MATCH(A496,[1]ｾﾚﾓﾆｰ商品ship!A:A,0)),
                                    INDEX([2]NV!D:D,MATCH(A496,[2]NV!C:C,0))
                                )
                            )
                        )
                    )
                )
            )
        )
    )
)</f>
        <v>おうちでできる実験ｷｯﾄ 4種類セット</v>
      </c>
      <c r="C496" s="4" t="s">
        <v>680</v>
      </c>
      <c r="D496" s="4" t="str">
        <f t="shared" si="21"/>
        <v>おうちでできる実験ｷｯﾄ 4種類セット ｜ 1Fノベルティ【03】 ｜ N-1</v>
      </c>
      <c r="E496" s="11" t="str">
        <f t="shared" si="22"/>
        <v>1Fノベルティ</v>
      </c>
      <c r="F496" s="12" t="s">
        <v>681</v>
      </c>
      <c r="G496" s="11" t="str">
        <f t="shared" si="23"/>
        <v>03・1FノベルティN-1</v>
      </c>
      <c r="H496" s="3"/>
    </row>
    <row r="497" spans="1:8" ht="15" customHeight="1" x14ac:dyDescent="0.2">
      <c r="A497" s="10" t="s">
        <v>482</v>
      </c>
      <c r="B497" s="10" t="str">
        <f>IFERROR(
    INDEX([1]FSHIP!B:B,MATCH(A497,[1]FSHIP!A:A,0)),
    IFERROR(
        INDEX([1]釣具商品ship!B:B,MATCH(A497,[1]釣具商品ship!A:A,0)),
        IFERROR(
            INDEX([1]玩具商品ship!B:B,MATCH(A497,[1]玩具商品ship!A:A,0)),
            IFERROR(
                INDEX([1]OEMship!B:B,MATCH(A497,[1]OEMship!A:A,0)),
                IFERROR(
                    INDEX([1]NV6ship!B:B,MATCH(A497,[1]NV6ship!A:A,0)),
                    IFERROR(
                        INDEX([1]NVship!B:B,MATCH(A497,[1]NVship!A:A,0)),
                        IFERROR(
                            INDEX([1]海ship!B:B,MATCH(A497,[1]海ship!A:A,0)),
                            IFERROR(
                                INDEX([1]ｾﾚship!B:B,MATCH(A497,[1]ｾﾚship!A:A,0)),
                                IFERROR(
                                    INDEX([1]ｾﾚﾓﾆｰ商品ship!B:B,MATCH(A497,[1]ｾﾚﾓﾆｰ商品ship!A:A,0)),
                                    INDEX([2]NV!D:D,MATCH(A497,[2]NV!C:C,0))
                                )
                            )
                        )
                    )
                )
            )
        )
    )
)</f>
        <v>光るアートにチャレンジ</v>
      </c>
      <c r="C497" s="4" t="s">
        <v>391</v>
      </c>
      <c r="D497" s="10" t="str">
        <f t="shared" si="21"/>
        <v>光るアートにチャレンジ ｜ 資材倉庫・ノベルティ【10】 ｜ M-1</v>
      </c>
      <c r="E497" s="11" t="str">
        <f t="shared" si="22"/>
        <v>資材倉庫・ノベルティ</v>
      </c>
      <c r="F497" s="12" t="s">
        <v>477</v>
      </c>
      <c r="G497" s="11" t="str">
        <f t="shared" si="23"/>
        <v>10・資材倉庫・ノベルティM-1</v>
      </c>
      <c r="H497" s="3"/>
    </row>
    <row r="498" spans="1:8" ht="15" customHeight="1" x14ac:dyDescent="0.2">
      <c r="A498" s="10" t="s">
        <v>481</v>
      </c>
      <c r="B498" s="10" t="str">
        <f>IFERROR(
    INDEX([1]FSHIP!B:B,MATCH(A498,[1]FSHIP!A:A,0)),
    IFERROR(
        INDEX([1]釣具商品ship!B:B,MATCH(A498,[1]釣具商品ship!A:A,0)),
        IFERROR(
            INDEX([1]玩具商品ship!B:B,MATCH(A498,[1]玩具商品ship!A:A,0)),
            IFERROR(
                INDEX([1]OEMship!B:B,MATCH(A498,[1]OEMship!A:A,0)),
                IFERROR(
                    INDEX([1]NV6ship!B:B,MATCH(A498,[1]NV6ship!A:A,0)),
                    IFERROR(
                        INDEX([1]NVship!B:B,MATCH(A498,[1]NVship!A:A,0)),
                        IFERROR(
                            INDEX([1]海ship!B:B,MATCH(A498,[1]海ship!A:A,0)),
                            IFERROR(
                                INDEX([1]ｾﾚship!B:B,MATCH(A498,[1]ｾﾚship!A:A,0)),
                                IFERROR(
                                    INDEX([1]ｾﾚﾓﾆｰ商品ship!B:B,MATCH(A498,[1]ｾﾚﾓﾆｰ商品ship!A:A,0)),
                                    INDEX([2]NV!D:D,MATCH(A498,[2]NV!C:C,0))
                                )
                            )
                        )
                    )
                )
            )
        )
    )
)</f>
        <v>フラスコで溶岩バブルをつくろう！</v>
      </c>
      <c r="C498" s="4" t="s">
        <v>391</v>
      </c>
      <c r="D498" s="10" t="str">
        <f t="shared" si="21"/>
        <v>フラスコで溶岩バブルをつくろう！ ｜ 資材倉庫・ノベルティ【10】 ｜ M-1</v>
      </c>
      <c r="E498" s="11" t="str">
        <f t="shared" si="22"/>
        <v>資材倉庫・ノベルティ</v>
      </c>
      <c r="F498" s="12" t="s">
        <v>477</v>
      </c>
      <c r="G498" s="11" t="str">
        <f t="shared" si="23"/>
        <v>10・資材倉庫・ノベルティM-1</v>
      </c>
      <c r="H498" s="3"/>
    </row>
    <row r="499" spans="1:8" ht="15" customHeight="1" x14ac:dyDescent="0.2">
      <c r="A499" s="10" t="s">
        <v>634</v>
      </c>
      <c r="B499" s="10" t="str">
        <f>IFERROR(
    INDEX([1]FSHIP!B:B,MATCH(A499,[1]FSHIP!A:A,0)),
    IFERROR(
        INDEX([1]釣具商品ship!B:B,MATCH(A499,[1]釣具商品ship!A:A,0)),
        IFERROR(
            INDEX([1]玩具商品ship!B:B,MATCH(A499,[1]玩具商品ship!A:A,0)),
            IFERROR(
                INDEX([1]OEMship!B:B,MATCH(A499,[1]OEMship!A:A,0)),
                IFERROR(
                    INDEX([1]NV6ship!B:B,MATCH(A499,[1]NV6ship!A:A,0)),
                    IFERROR(
                        INDEX([1]NVship!B:B,MATCH(A499,[1]NVship!A:A,0)),
                        IFERROR(
                            INDEX([1]海ship!B:B,MATCH(A499,[1]海ship!A:A,0)),
                            IFERROR(
                                INDEX([1]ｾﾚship!B:B,MATCH(A499,[1]ｾﾚship!A:A,0)),
                                IFERROR(
                                    INDEX([1]ｾﾚﾓﾆｰ商品ship!B:B,MATCH(A499,[1]ｾﾚﾓﾆｰ商品ship!A:A,0)),
                                    INDEX([2]NV!D:D,MATCH(A499,[2]NV!C:C,0))
                                )
                            )
                        )
                    )
                )
            )
        )
    )
)</f>
        <v>クローンフィンガーをつくろう！</v>
      </c>
      <c r="C499" s="4" t="s">
        <v>472</v>
      </c>
      <c r="D499" s="10" t="str">
        <f t="shared" si="21"/>
        <v>クローンフィンガーをつくろう！ ｜ 資材倉庫・ノベルティ【10】 ｜ A-1</v>
      </c>
      <c r="E499" s="11" t="str">
        <f t="shared" si="22"/>
        <v>資材倉庫・ノベルティ</v>
      </c>
      <c r="F499" s="12" t="s">
        <v>674</v>
      </c>
      <c r="G499" s="11" t="str">
        <f t="shared" si="23"/>
        <v>10・資材倉庫・ノベルティA-1</v>
      </c>
      <c r="H499" s="3"/>
    </row>
    <row r="500" spans="1:8" ht="15" customHeight="1" x14ac:dyDescent="0.2">
      <c r="A500" s="10" t="s">
        <v>488</v>
      </c>
      <c r="B500" s="10" t="str">
        <f>IFERROR(
    INDEX([1]FSHIP!B:B,MATCH(A500,[1]FSHIP!A:A,0)),
    IFERROR(
        INDEX([1]釣具商品ship!B:B,MATCH(A500,[1]釣具商品ship!A:A,0)),
        IFERROR(
            INDEX([1]玩具商品ship!B:B,MATCH(A500,[1]玩具商品ship!A:A,0)),
            IFERROR(
                INDEX([1]OEMship!B:B,MATCH(A500,[1]OEMship!A:A,0)),
                IFERROR(
                    INDEX([1]NV6ship!B:B,MATCH(A500,[1]NV6ship!A:A,0)),
                    IFERROR(
                        INDEX([1]NVship!B:B,MATCH(A500,[1]NVship!A:A,0)),
                        IFERROR(
                            INDEX([1]海ship!B:B,MATCH(A500,[1]海ship!A:A,0)),
                            IFERROR(
                                INDEX([1]ｾﾚship!B:B,MATCH(A500,[1]ｾﾚship!A:A,0)),
                                IFERROR(
                                    INDEX([1]ｾﾚﾓﾆｰ商品ship!B:B,MATCH(A500,[1]ｾﾚﾓﾆｰ商品ship!A:A,0)),
                                    INDEX([2]NV!D:D,MATCH(A500,[2]NV!C:C,0))
                                )
                            )
                        )
                    )
                )
            )
        )
    )
)</f>
        <v>ふしぎなコースターをつくろう！</v>
      </c>
      <c r="C500" s="4" t="s">
        <v>382</v>
      </c>
      <c r="D500" s="10" t="str">
        <f t="shared" si="21"/>
        <v>ふしぎなコースターをつくろう！ ｜ 資材倉庫・ノベルティ【10】 ｜ N-1</v>
      </c>
      <c r="E500" s="11" t="str">
        <f t="shared" si="22"/>
        <v>資材倉庫・ノベルティ</v>
      </c>
      <c r="F500" s="12" t="s">
        <v>477</v>
      </c>
      <c r="G500" s="11" t="str">
        <f t="shared" si="23"/>
        <v>10・資材倉庫・ノベルティN-1</v>
      </c>
      <c r="H500" s="3"/>
    </row>
    <row r="501" spans="1:8" ht="15" customHeight="1" x14ac:dyDescent="0.2">
      <c r="A501" s="10" t="s">
        <v>499</v>
      </c>
      <c r="B501" s="10" t="str">
        <f>IFERROR(
    INDEX([1]FSHIP!B:B,MATCH(A501,[1]FSHIP!A:A,0)),
    IFERROR(
        INDEX([1]釣具商品ship!B:B,MATCH(A501,[1]釣具商品ship!A:A,0)),
        IFERROR(
            INDEX([1]玩具商品ship!B:B,MATCH(A501,[1]玩具商品ship!A:A,0)),
            IFERROR(
                INDEX([1]OEMship!B:B,MATCH(A501,[1]OEMship!A:A,0)),
                IFERROR(
                    INDEX([1]NV6ship!B:B,MATCH(A501,[1]NV6ship!A:A,0)),
                    IFERROR(
                        INDEX([1]NVship!B:B,MATCH(A501,[1]NVship!A:A,0)),
                        IFERROR(
                            INDEX([1]海ship!B:B,MATCH(A501,[1]海ship!A:A,0)),
                            IFERROR(
                                INDEX([1]ｾﾚship!B:B,MATCH(A501,[1]ｾﾚship!A:A,0)),
                                IFERROR(
                                    INDEX([1]ｾﾚﾓﾆｰ商品ship!B:B,MATCH(A501,[1]ｾﾚﾓﾆｰ商品ship!A:A,0)),
                                    INDEX([2]NV!D:D,MATCH(A501,[2]NV!C:C,0))
                                )
                            )
                        )
                    )
                )
            )
        )
    )
)</f>
        <v>てづくりランタンをつくろう！</v>
      </c>
      <c r="C501" s="4" t="s">
        <v>503</v>
      </c>
      <c r="D501" s="4" t="str">
        <f t="shared" si="21"/>
        <v>てづくりランタンをつくろう！ ｜ 資材倉庫・ノベルティ【10】 ｜ O-1</v>
      </c>
      <c r="E501" s="11" t="str">
        <f t="shared" si="22"/>
        <v>資材倉庫・ノベルティ</v>
      </c>
      <c r="F501" s="12" t="s">
        <v>477</v>
      </c>
      <c r="G501" s="11" t="str">
        <f t="shared" si="23"/>
        <v>10・資材倉庫・ノベルティO-1</v>
      </c>
      <c r="H501" s="3"/>
    </row>
    <row r="502" spans="1:8" ht="15" customHeight="1" x14ac:dyDescent="0.2">
      <c r="A502" s="10" t="s">
        <v>381</v>
      </c>
      <c r="B502" s="10" t="str">
        <f>IFERROR(
    INDEX([1]FSHIP!B:B,MATCH(A502,[1]FSHIP!A:A,0)),
    IFERROR(
        INDEX([1]釣具商品ship!B:B,MATCH(A502,[1]釣具商品ship!A:A,0)),
        IFERROR(
            INDEX([1]玩具商品ship!B:B,MATCH(A502,[1]玩具商品ship!A:A,0)),
            IFERROR(
                INDEX([1]OEMship!B:B,MATCH(A502,[1]OEMship!A:A,0)),
                IFERROR(
                    INDEX([1]NV6ship!B:B,MATCH(A502,[1]NV6ship!A:A,0)),
                    IFERROR(
                        INDEX([1]NVship!B:B,MATCH(A502,[1]NVship!A:A,0)),
                        IFERROR(
                            INDEX([1]海ship!B:B,MATCH(A502,[1]海ship!A:A,0)),
                            IFERROR(
                                INDEX([1]ｾﾚship!B:B,MATCH(A502,[1]ｾﾚship!A:A,0)),
                                IFERROR(
                                    INDEX([1]ｾﾚﾓﾆｰ商品ship!B:B,MATCH(A502,[1]ｾﾚﾓﾆｰ商品ship!A:A,0)),
                                    INDEX([2]NV!D:D,MATCH(A502,[2]NV!C:C,0))
                                )
                            )
                        )
                    )
                )
            )
        )
    )
)</f>
        <v>おうちでできる　光る結晶の山</v>
      </c>
      <c r="C502" s="4" t="s">
        <v>368</v>
      </c>
      <c r="D502" s="10" t="str">
        <f t="shared" si="21"/>
        <v>おうちでできる　光る結晶の山 ｜ 1Fノベルティ【03】 ｜ P-1</v>
      </c>
      <c r="E502" s="11" t="str">
        <f t="shared" si="22"/>
        <v>1Fノベルティ</v>
      </c>
      <c r="F502" s="12" t="s">
        <v>367</v>
      </c>
      <c r="G502" s="11" t="str">
        <f t="shared" si="23"/>
        <v>03・1FノベルティP-1</v>
      </c>
      <c r="H502" s="3"/>
    </row>
    <row r="503" spans="1:8" ht="15" customHeight="1" x14ac:dyDescent="0.2">
      <c r="A503" s="10" t="s">
        <v>380</v>
      </c>
      <c r="B503" s="10" t="str">
        <f>IFERROR(
    INDEX([1]FSHIP!B:B,MATCH(A503,[1]FSHIP!A:A,0)),
    IFERROR(
        INDEX([1]釣具商品ship!B:B,MATCH(A503,[1]釣具商品ship!A:A,0)),
        IFERROR(
            INDEX([1]玩具商品ship!B:B,MATCH(A503,[1]玩具商品ship!A:A,0)),
            IFERROR(
                INDEX([1]OEMship!B:B,MATCH(A503,[1]OEMship!A:A,0)),
                IFERROR(
                    INDEX([1]NV6ship!B:B,MATCH(A503,[1]NV6ship!A:A,0)),
                    IFERROR(
                        INDEX([1]NVship!B:B,MATCH(A503,[1]NVship!A:A,0)),
                        IFERROR(
                            INDEX([1]海ship!B:B,MATCH(A503,[1]海ship!A:A,0)),
                            IFERROR(
                                INDEX([1]ｾﾚship!B:B,MATCH(A503,[1]ｾﾚship!A:A,0)),
                                IFERROR(
                                    INDEX([1]ｾﾚﾓﾆｰ商品ship!B:B,MATCH(A503,[1]ｾﾚﾓﾆｰ商品ship!A:A,0)),
                                    INDEX([2]NV!D:D,MATCH(A503,[2]NV!C:C,0))
                                )
                            )
                        )
                    )
                )
            )
        )
    )
)</f>
        <v>おうちでできる　色が変わる水</v>
      </c>
      <c r="C503" s="4" t="s">
        <v>368</v>
      </c>
      <c r="D503" s="10" t="str">
        <f t="shared" si="21"/>
        <v>おうちでできる　色が変わる水 ｜ 1Fノベルティ【03】 ｜ P-1</v>
      </c>
      <c r="E503" s="11" t="str">
        <f t="shared" si="22"/>
        <v>1Fノベルティ</v>
      </c>
      <c r="F503" s="12" t="s">
        <v>367</v>
      </c>
      <c r="G503" s="11" t="str">
        <f t="shared" si="23"/>
        <v>03・1FノベルティP-1</v>
      </c>
      <c r="H503" s="3"/>
    </row>
    <row r="504" spans="1:8" ht="15" customHeight="1" x14ac:dyDescent="0.2">
      <c r="A504" s="10" t="s">
        <v>379</v>
      </c>
      <c r="B504" s="10" t="str">
        <f>IFERROR(
    INDEX([1]FSHIP!B:B,MATCH(A504,[1]FSHIP!A:A,0)),
    IFERROR(
        INDEX([1]釣具商品ship!B:B,MATCH(A504,[1]釣具商品ship!A:A,0)),
        IFERROR(
            INDEX([1]玩具商品ship!B:B,MATCH(A504,[1]玩具商品ship!A:A,0)),
            IFERROR(
                INDEX([1]OEMship!B:B,MATCH(A504,[1]OEMship!A:A,0)),
                IFERROR(
                    INDEX([1]NV6ship!B:B,MATCH(A504,[1]NV6ship!A:A,0)),
                    IFERROR(
                        INDEX([1]NVship!B:B,MATCH(A504,[1]NVship!A:A,0)),
                        IFERROR(
                            INDEX([1]海ship!B:B,MATCH(A504,[1]海ship!A:A,0)),
                            IFERROR(
                                INDEX([1]ｾﾚship!B:B,MATCH(A504,[1]ｾﾚship!A:A,0)),
                                IFERROR(
                                    INDEX([1]ｾﾚﾓﾆｰ商品ship!B:B,MATCH(A504,[1]ｾﾚﾓﾆｰ商品ship!A:A,0)),
                                    INDEX([2]NV!D:D,MATCH(A504,[2]NV!C:C,0))
                                )
                            )
                        )
                    )
                )
            )
        )
    )
)</f>
        <v>おうちでできる　いきなり氷る魔法の水</v>
      </c>
      <c r="C504" s="4" t="s">
        <v>368</v>
      </c>
      <c r="D504" s="10" t="str">
        <f t="shared" si="21"/>
        <v>おうちでできる　いきなり氷る魔法の水 ｜ 1Fノベルティ【03】 ｜ P-1</v>
      </c>
      <c r="E504" s="11" t="str">
        <f t="shared" si="22"/>
        <v>1Fノベルティ</v>
      </c>
      <c r="F504" s="12" t="s">
        <v>367</v>
      </c>
      <c r="G504" s="11" t="str">
        <f t="shared" si="23"/>
        <v>03・1FノベルティP-1</v>
      </c>
      <c r="H504" s="3"/>
    </row>
    <row r="505" spans="1:8" ht="15" customHeight="1" x14ac:dyDescent="0.2">
      <c r="A505" s="10" t="s">
        <v>378</v>
      </c>
      <c r="B505" s="10" t="str">
        <f>IFERROR(
    INDEX([1]FSHIP!B:B,MATCH(A505,[1]FSHIP!A:A,0)),
    IFERROR(
        INDEX([1]釣具商品ship!B:B,MATCH(A505,[1]釣具商品ship!A:A,0)),
        IFERROR(
            INDEX([1]玩具商品ship!B:B,MATCH(A505,[1]玩具商品ship!A:A,0)),
            IFERROR(
                INDEX([1]OEMship!B:B,MATCH(A505,[1]OEMship!A:A,0)),
                IFERROR(
                    INDEX([1]NV6ship!B:B,MATCH(A505,[1]NV6ship!A:A,0)),
                    IFERROR(
                        INDEX([1]NVship!B:B,MATCH(A505,[1]NVship!A:A,0)),
                        IFERROR(
                            INDEX([1]海ship!B:B,MATCH(A505,[1]海ship!A:A,0)),
                            IFERROR(
                                INDEX([1]ｾﾚship!B:B,MATCH(A505,[1]ｾﾚship!A:A,0)),
                                IFERROR(
                                    INDEX([1]ｾﾚﾓﾆｰ商品ship!B:B,MATCH(A505,[1]ｾﾚﾓﾆｰ商品ship!A:A,0)),
                                    INDEX([2]NV!D:D,MATCH(A505,[2]NV!C:C,0))
                                )
                            )
                        )
                    )
                )
            )
        )
    )
)</f>
        <v>おうちでできる　冷え冷えカイロ</v>
      </c>
      <c r="C505" s="4" t="s">
        <v>368</v>
      </c>
      <c r="D505" s="10" t="str">
        <f t="shared" si="21"/>
        <v>おうちでできる　冷え冷えカイロ ｜ 1Fノベルティ【03】 ｜ P-1</v>
      </c>
      <c r="E505" s="11" t="str">
        <f t="shared" si="22"/>
        <v>1Fノベルティ</v>
      </c>
      <c r="F505" s="12" t="s">
        <v>367</v>
      </c>
      <c r="G505" s="11" t="str">
        <f t="shared" si="23"/>
        <v>03・1FノベルティP-1</v>
      </c>
      <c r="H505" s="3"/>
    </row>
    <row r="506" spans="1:8" ht="15" customHeight="1" x14ac:dyDescent="0.2">
      <c r="A506" s="10" t="s">
        <v>377</v>
      </c>
      <c r="B506" s="10" t="str">
        <f>IFERROR(
    INDEX([1]FSHIP!B:B,MATCH(A506,[1]FSHIP!A:A,0)),
    IFERROR(
        INDEX([1]釣具商品ship!B:B,MATCH(A506,[1]釣具商品ship!A:A,0)),
        IFERROR(
            INDEX([1]玩具商品ship!B:B,MATCH(A506,[1]玩具商品ship!A:A,0)),
            IFERROR(
                INDEX([1]OEMship!B:B,MATCH(A506,[1]OEMship!A:A,0)),
                IFERROR(
                    INDEX([1]NV6ship!B:B,MATCH(A506,[1]NV6ship!A:A,0)),
                    IFERROR(
                        INDEX([1]NVship!B:B,MATCH(A506,[1]NVship!A:A,0)),
                        IFERROR(
                            INDEX([1]海ship!B:B,MATCH(A506,[1]海ship!A:A,0)),
                            IFERROR(
                                INDEX([1]ｾﾚship!B:B,MATCH(A506,[1]ｾﾚship!A:A,0)),
                                IFERROR(
                                    INDEX([1]ｾﾚﾓﾆｰ商品ship!B:B,MATCH(A506,[1]ｾﾚﾓﾆｰ商品ship!A:A,0)),
                                    INDEX([2]NV!D:D,MATCH(A506,[2]NV!C:C,0))
                                )
                            )
                        )
                    )
                )
            )
        )
    )
)</f>
        <v>おうちでできる　つかめる水玉</v>
      </c>
      <c r="C506" s="4" t="s">
        <v>368</v>
      </c>
      <c r="D506" s="10" t="str">
        <f t="shared" si="21"/>
        <v>おうちでできる　つかめる水玉 ｜ 1Fノベルティ【03】 ｜ P-1</v>
      </c>
      <c r="E506" s="11" t="str">
        <f t="shared" si="22"/>
        <v>1Fノベルティ</v>
      </c>
      <c r="F506" s="12" t="s">
        <v>367</v>
      </c>
      <c r="G506" s="11" t="str">
        <f t="shared" si="23"/>
        <v>03・1FノベルティP-1</v>
      </c>
      <c r="H506" s="3"/>
    </row>
    <row r="507" spans="1:8" ht="15" customHeight="1" x14ac:dyDescent="0.2">
      <c r="A507" s="10" t="s">
        <v>376</v>
      </c>
      <c r="B507" s="10" t="str">
        <f>IFERROR(
    INDEX([1]FSHIP!B:B,MATCH(A507,[1]FSHIP!A:A,0)),
    IFERROR(
        INDEX([1]釣具商品ship!B:B,MATCH(A507,[1]釣具商品ship!A:A,0)),
        IFERROR(
            INDEX([1]玩具商品ship!B:B,MATCH(A507,[1]玩具商品ship!A:A,0)),
            IFERROR(
                INDEX([1]OEMship!B:B,MATCH(A507,[1]OEMship!A:A,0)),
                IFERROR(
                    INDEX([1]NV6ship!B:B,MATCH(A507,[1]NV6ship!A:A,0)),
                    IFERROR(
                        INDEX([1]NVship!B:B,MATCH(A507,[1]NVship!A:A,0)),
                        IFERROR(
                            INDEX([1]海ship!B:B,MATCH(A507,[1]海ship!A:A,0)),
                            IFERROR(
                                INDEX([1]ｾﾚship!B:B,MATCH(A507,[1]ｾﾚship!A:A,0)),
                                IFERROR(
                                    INDEX([1]ｾﾚﾓﾆｰ商品ship!B:B,MATCH(A507,[1]ｾﾚﾓﾆｰ商品ship!A:A,0)),
                                    INDEX([2]NV!D:D,MATCH(A507,[2]NV!C:C,0))
                                )
                            )
                        )
                    )
                )
            )
        )
    )
)</f>
        <v>おうちでできる　あわボール　ブルー</v>
      </c>
      <c r="C507" s="4" t="s">
        <v>368</v>
      </c>
      <c r="D507" s="10" t="str">
        <f t="shared" si="21"/>
        <v>おうちでできる　あわボール　ブルー ｜ 1Fノベルティ【03】 ｜ P-1</v>
      </c>
      <c r="E507" s="11" t="str">
        <f t="shared" si="22"/>
        <v>1Fノベルティ</v>
      </c>
      <c r="F507" s="12" t="s">
        <v>367</v>
      </c>
      <c r="G507" s="11" t="str">
        <f t="shared" si="23"/>
        <v>03・1FノベルティP-1</v>
      </c>
      <c r="H507" s="3"/>
    </row>
    <row r="508" spans="1:8" ht="15" customHeight="1" x14ac:dyDescent="0.2">
      <c r="A508" s="10" t="s">
        <v>375</v>
      </c>
      <c r="B508" s="10" t="str">
        <f>IFERROR(
    INDEX([1]FSHIP!B:B,MATCH(A508,[1]FSHIP!A:A,0)),
    IFERROR(
        INDEX([1]釣具商品ship!B:B,MATCH(A508,[1]釣具商品ship!A:A,0)),
        IFERROR(
            INDEX([1]玩具商品ship!B:B,MATCH(A508,[1]玩具商品ship!A:A,0)),
            IFERROR(
                INDEX([1]OEMship!B:B,MATCH(A508,[1]OEMship!A:A,0)),
                IFERROR(
                    INDEX([1]NV6ship!B:B,MATCH(A508,[1]NV6ship!A:A,0)),
                    IFERROR(
                        INDEX([1]NVship!B:B,MATCH(A508,[1]NVship!A:A,0)),
                        IFERROR(
                            INDEX([1]海ship!B:B,MATCH(A508,[1]海ship!A:A,0)),
                            IFERROR(
                                INDEX([1]ｾﾚship!B:B,MATCH(A508,[1]ｾﾚship!A:A,0)),
                                IFERROR(
                                    INDEX([1]ｾﾚﾓﾆｰ商品ship!B:B,MATCH(A508,[1]ｾﾚﾓﾆｰ商品ship!A:A,0)),
                                    INDEX([2]NV!D:D,MATCH(A508,[2]NV!C:C,0))
                                )
                            )
                        )
                    )
                )
            )
        )
    )
)</f>
        <v>おうちでできる　あわボール　ピンク</v>
      </c>
      <c r="C508" s="4" t="s">
        <v>368</v>
      </c>
      <c r="D508" s="10" t="str">
        <f t="shared" si="21"/>
        <v>おうちでできる　あわボール　ピンク ｜ 1Fノベルティ【03】 ｜ P-1</v>
      </c>
      <c r="E508" s="11" t="str">
        <f t="shared" si="22"/>
        <v>1Fノベルティ</v>
      </c>
      <c r="F508" s="12" t="s">
        <v>367</v>
      </c>
      <c r="G508" s="11" t="str">
        <f t="shared" si="23"/>
        <v>03・1FノベルティP-1</v>
      </c>
      <c r="H508" s="3"/>
    </row>
    <row r="509" spans="1:8" ht="15" customHeight="1" x14ac:dyDescent="0.2">
      <c r="A509" s="10" t="s">
        <v>374</v>
      </c>
      <c r="B509" s="10" t="str">
        <f>IFERROR(
    INDEX([1]FSHIP!B:B,MATCH(A509,[1]FSHIP!A:A,0)),
    IFERROR(
        INDEX([1]釣具商品ship!B:B,MATCH(A509,[1]釣具商品ship!A:A,0)),
        IFERROR(
            INDEX([1]玩具商品ship!B:B,MATCH(A509,[1]玩具商品ship!A:A,0)),
            IFERROR(
                INDEX([1]OEMship!B:B,MATCH(A509,[1]OEMship!A:A,0)),
                IFERROR(
                    INDEX([1]NV6ship!B:B,MATCH(A509,[1]NV6ship!A:A,0)),
                    IFERROR(
                        INDEX([1]NVship!B:B,MATCH(A509,[1]NVship!A:A,0)),
                        IFERROR(
                            INDEX([1]海ship!B:B,MATCH(A509,[1]海ship!A:A,0)),
                            IFERROR(
                                INDEX([1]ｾﾚship!B:B,MATCH(A509,[1]ｾﾚship!A:A,0)),
                                IFERROR(
                                    INDEX([1]ｾﾚﾓﾆｰ商品ship!B:B,MATCH(A509,[1]ｾﾚﾓﾆｰ商品ship!A:A,0)),
                                    INDEX([2]NV!D:D,MATCH(A509,[2]NV!C:C,0))
                                )
                            )
                        )
                    )
                )
            )
        )
    )
)</f>
        <v>おうちでできる　マジックウォーター</v>
      </c>
      <c r="C509" s="4" t="s">
        <v>368</v>
      </c>
      <c r="D509" s="10" t="str">
        <f t="shared" si="21"/>
        <v>おうちでできる　マジックウォーター ｜ 1Fノベルティ【03】 ｜ P-1</v>
      </c>
      <c r="E509" s="11" t="str">
        <f t="shared" si="22"/>
        <v>1Fノベルティ</v>
      </c>
      <c r="F509" s="12" t="s">
        <v>367</v>
      </c>
      <c r="G509" s="11" t="str">
        <f t="shared" si="23"/>
        <v>03・1FノベルティP-1</v>
      </c>
      <c r="H509" s="3"/>
    </row>
    <row r="510" spans="1:8" ht="15" customHeight="1" x14ac:dyDescent="0.2">
      <c r="A510" s="10" t="s">
        <v>373</v>
      </c>
      <c r="B510" s="10" t="str">
        <f>IFERROR(
    INDEX([1]FSHIP!B:B,MATCH(A510,[1]FSHIP!A:A,0)),
    IFERROR(
        INDEX([1]釣具商品ship!B:B,MATCH(A510,[1]釣具商品ship!A:A,0)),
        IFERROR(
            INDEX([1]玩具商品ship!B:B,MATCH(A510,[1]玩具商品ship!A:A,0)),
            IFERROR(
                INDEX([1]OEMship!B:B,MATCH(A510,[1]OEMship!A:A,0)),
                IFERROR(
                    INDEX([1]NV6ship!B:B,MATCH(A510,[1]NV6ship!A:A,0)),
                    IFERROR(
                        INDEX([1]NVship!B:B,MATCH(A510,[1]NVship!A:A,0)),
                        IFERROR(
                            INDEX([1]海ship!B:B,MATCH(A510,[1]海ship!A:A,0)),
                            IFERROR(
                                INDEX([1]ｾﾚship!B:B,MATCH(A510,[1]ｾﾚship!A:A,0)),
                                IFERROR(
                                    INDEX([1]ｾﾚﾓﾆｰ商品ship!B:B,MATCH(A510,[1]ｾﾚﾓﾆｰ商品ship!A:A,0)),
                                    INDEX([2]NV!D:D,MATCH(A510,[2]NV!C:C,0))
                                )
                            )
                        )
                    )
                )
            )
        )
    )
)</f>
        <v>おうちでできる てづくりせっけん</v>
      </c>
      <c r="C510" s="4" t="s">
        <v>368</v>
      </c>
      <c r="D510" s="10" t="str">
        <f t="shared" si="21"/>
        <v>おうちでできる てづくりせっけん ｜ 1Fノベルティ【03】 ｜ P-1</v>
      </c>
      <c r="E510" s="11" t="str">
        <f t="shared" si="22"/>
        <v>1Fノベルティ</v>
      </c>
      <c r="F510" s="12" t="s">
        <v>367</v>
      </c>
      <c r="G510" s="11" t="str">
        <f t="shared" si="23"/>
        <v>03・1FノベルティP-1</v>
      </c>
      <c r="H510" s="3"/>
    </row>
    <row r="511" spans="1:8" ht="15" customHeight="1" x14ac:dyDescent="0.2">
      <c r="A511" s="10" t="s">
        <v>372</v>
      </c>
      <c r="B511" s="10" t="str">
        <f>IFERROR(
    INDEX([1]FSHIP!B:B,MATCH(A511,[1]FSHIP!A:A,0)),
    IFERROR(
        INDEX([1]釣具商品ship!B:B,MATCH(A511,[1]釣具商品ship!A:A,0)),
        IFERROR(
            INDEX([1]玩具商品ship!B:B,MATCH(A511,[1]玩具商品ship!A:A,0)),
            IFERROR(
                INDEX([1]OEMship!B:B,MATCH(A511,[1]OEMship!A:A,0)),
                IFERROR(
                    INDEX([1]NV6ship!B:B,MATCH(A511,[1]NV6ship!A:A,0)),
                    IFERROR(
                        INDEX([1]NVship!B:B,MATCH(A511,[1]NVship!A:A,0)),
                        IFERROR(
                            INDEX([1]海ship!B:B,MATCH(A511,[1]海ship!A:A,0)),
                            IFERROR(
                                INDEX([1]ｾﾚship!B:B,MATCH(A511,[1]ｾﾚship!A:A,0)),
                                IFERROR(
                                    INDEX([1]ｾﾚﾓﾆｰ商品ship!B:B,MATCH(A511,[1]ｾﾚﾓﾆｰ商品ship!A:A,0)),
                                    INDEX([2]NV!D:D,MATCH(A511,[2]NV!C:C,0))
                                )
                            )
                        )
                    )
                )
            )
        )
    )
)</f>
        <v>おうちでできる 色が変化するｱﾒｰﾊﾞｼﾞｪﾙ</v>
      </c>
      <c r="C511" s="4" t="s">
        <v>368</v>
      </c>
      <c r="D511" s="10" t="str">
        <f t="shared" si="21"/>
        <v>おうちでできる 色が変化するｱﾒｰﾊﾞｼﾞｪﾙ ｜ 1Fノベルティ【03】 ｜ P-1</v>
      </c>
      <c r="E511" s="11" t="str">
        <f t="shared" si="22"/>
        <v>1Fノベルティ</v>
      </c>
      <c r="F511" s="12" t="s">
        <v>367</v>
      </c>
      <c r="G511" s="11" t="str">
        <f t="shared" si="23"/>
        <v>03・1FノベルティP-1</v>
      </c>
      <c r="H511" s="3"/>
    </row>
    <row r="512" spans="1:8" ht="15" customHeight="1" x14ac:dyDescent="0.2">
      <c r="A512" s="10" t="s">
        <v>485</v>
      </c>
      <c r="B512" s="10" t="str">
        <f>IFERROR(
    INDEX([1]FSHIP!B:B,MATCH(A512,[1]FSHIP!A:A,0)),
    IFERROR(
        INDEX([1]釣具商品ship!B:B,MATCH(A512,[1]釣具商品ship!A:A,0)),
        IFERROR(
            INDEX([1]玩具商品ship!B:B,MATCH(A512,[1]玩具商品ship!A:A,0)),
            IFERROR(
                INDEX([1]OEMship!B:B,MATCH(A512,[1]OEMship!A:A,0)),
                IFERROR(
                    INDEX([1]NV6ship!B:B,MATCH(A512,[1]NV6ship!A:A,0)),
                    IFERROR(
                        INDEX([1]NVship!B:B,MATCH(A512,[1]NVship!A:A,0)),
                        IFERROR(
                            INDEX([1]海ship!B:B,MATCH(A512,[1]海ship!A:A,0)),
                            IFERROR(
                                INDEX([1]ｾﾚship!B:B,MATCH(A512,[1]ｾﾚship!A:A,0)),
                                IFERROR(
                                    INDEX([1]ｾﾚﾓﾆｰ商品ship!B:B,MATCH(A512,[1]ｾﾚﾓﾆｰ商品ship!A:A,0)),
                                    INDEX([2]NV!D:D,MATCH(A512,[2]NV!C:C,0))
                                )
                            )
                        )
                    )
                )
            )
        )
    )
)</f>
        <v>お手軽！伝統の紙づくり体験</v>
      </c>
      <c r="C512" s="4" t="s">
        <v>391</v>
      </c>
      <c r="D512" s="10" t="str">
        <f t="shared" si="21"/>
        <v>お手軽！伝統の紙づくり体験 ｜ 資材倉庫・ノベルティ【10】 ｜ M-1</v>
      </c>
      <c r="E512" s="11" t="str">
        <f t="shared" si="22"/>
        <v>資材倉庫・ノベルティ</v>
      </c>
      <c r="F512" s="12" t="s">
        <v>477</v>
      </c>
      <c r="G512" s="11" t="str">
        <f t="shared" si="23"/>
        <v>10・資材倉庫・ノベルティM-1</v>
      </c>
      <c r="H512" s="3"/>
    </row>
    <row r="513" spans="1:8" ht="15" customHeight="1" x14ac:dyDescent="0.2">
      <c r="A513" s="10" t="s">
        <v>489</v>
      </c>
      <c r="B513" s="10" t="str">
        <f>IFERROR(
    INDEX([1]FSHIP!B:B,MATCH(A513,[1]FSHIP!A:A,0)),
    IFERROR(
        INDEX([1]釣具商品ship!B:B,MATCH(A513,[1]釣具商品ship!A:A,0)),
        IFERROR(
            INDEX([1]玩具商品ship!B:B,MATCH(A513,[1]玩具商品ship!A:A,0)),
            IFERROR(
                INDEX([1]OEMship!B:B,MATCH(A513,[1]OEMship!A:A,0)),
                IFERROR(
                    INDEX([1]NV6ship!B:B,MATCH(A513,[1]NV6ship!A:A,0)),
                    IFERROR(
                        INDEX([1]NVship!B:B,MATCH(A513,[1]NVship!A:A,0)),
                        IFERROR(
                            INDEX([1]海ship!B:B,MATCH(A513,[1]海ship!A:A,0)),
                            IFERROR(
                                INDEX([1]ｾﾚship!B:B,MATCH(A513,[1]ｾﾚship!A:A,0)),
                                IFERROR(
                                    INDEX([1]ｾﾚﾓﾆｰ商品ship!B:B,MATCH(A513,[1]ｾﾚﾓﾆｰ商品ship!A:A,0)),
                                    INDEX([2]NV!D:D,MATCH(A513,[2]NV!C:C,0))
                                )
                            )
                        )
                    )
                )
            )
        )
    )
)</f>
        <v>氷の謎を大調査～5つのおもしろ実験～</v>
      </c>
      <c r="C513" s="4" t="s">
        <v>382</v>
      </c>
      <c r="D513" s="10" t="str">
        <f t="shared" si="21"/>
        <v>氷の謎を大調査～5つのおもしろ実験～ ｜ 資材倉庫・ノベルティ【10】 ｜ N-1</v>
      </c>
      <c r="E513" s="11" t="str">
        <f t="shared" si="22"/>
        <v>資材倉庫・ノベルティ</v>
      </c>
      <c r="F513" s="12" t="s">
        <v>477</v>
      </c>
      <c r="G513" s="11" t="str">
        <f t="shared" si="23"/>
        <v>10・資材倉庫・ノベルティN-1</v>
      </c>
      <c r="H513" s="3"/>
    </row>
    <row r="514" spans="1:8" ht="15" customHeight="1" x14ac:dyDescent="0.2">
      <c r="A514" s="10" t="s">
        <v>371</v>
      </c>
      <c r="B514" s="10" t="str">
        <f>IFERROR(
    INDEX([1]FSHIP!B:B,MATCH(A514,[1]FSHIP!A:A,0)),
    IFERROR(
        INDEX([1]釣具商品ship!B:B,MATCH(A514,[1]釣具商品ship!A:A,0)),
        IFERROR(
            INDEX([1]玩具商品ship!B:B,MATCH(A514,[1]玩具商品ship!A:A,0)),
            IFERROR(
                INDEX([1]OEMship!B:B,MATCH(A514,[1]OEMship!A:A,0)),
                IFERROR(
                    INDEX([1]NV6ship!B:B,MATCH(A514,[1]NV6ship!A:A,0)),
                    IFERROR(
                        INDEX([1]NVship!B:B,MATCH(A514,[1]NVship!A:A,0)),
                        IFERROR(
                            INDEX([1]海ship!B:B,MATCH(A514,[1]海ship!A:A,0)),
                            IFERROR(
                                INDEX([1]ｾﾚship!B:B,MATCH(A514,[1]ｾﾚship!A:A,0)),
                                IFERROR(
                                    INDEX([1]ｾﾚﾓﾆｰ商品ship!B:B,MATCH(A514,[1]ｾﾚﾓﾆｰ商品ship!A:A,0)),
                                    INDEX([2]NV!D:D,MATCH(A514,[2]NV!C:C,0))
                                )
                            )
                        )
                    )
                )
            )
        )
    )
)</f>
        <v>ペットボトルペット～クリオネ～</v>
      </c>
      <c r="C514" s="4" t="s">
        <v>368</v>
      </c>
      <c r="D514" s="10" t="str">
        <f t="shared" ref="D514:D577" si="24">B514&amp;" ｜ "&amp;E514&amp;"【"&amp;F514&amp;"】 ｜ "&amp;C514</f>
        <v>ペットボトルペット～クリオネ～ ｜ 1Fノベルティ【03】 ｜ P-1</v>
      </c>
      <c r="E514" s="11" t="str">
        <f t="shared" ref="E514:E577" si="25">INDEX(K:K, MATCH(F514, J:J, 0))</f>
        <v>1Fノベルティ</v>
      </c>
      <c r="F514" s="12" t="s">
        <v>367</v>
      </c>
      <c r="G514" s="11" t="str">
        <f t="shared" ref="G514:G577" si="26">F514&amp;"・"&amp;E514&amp;C514</f>
        <v>03・1FノベルティP-1</v>
      </c>
      <c r="H514" s="3"/>
    </row>
    <row r="515" spans="1:8" ht="15" customHeight="1" x14ac:dyDescent="0.2">
      <c r="A515" s="10" t="s">
        <v>370</v>
      </c>
      <c r="B515" s="10" t="str">
        <f>IFERROR(
    INDEX([1]FSHIP!B:B,MATCH(A515,[1]FSHIP!A:A,0)),
    IFERROR(
        INDEX([1]釣具商品ship!B:B,MATCH(A515,[1]釣具商品ship!A:A,0)),
        IFERROR(
            INDEX([1]玩具商品ship!B:B,MATCH(A515,[1]玩具商品ship!A:A,0)),
            IFERROR(
                INDEX([1]OEMship!B:B,MATCH(A515,[1]OEMship!A:A,0)),
                IFERROR(
                    INDEX([1]NV6ship!B:B,MATCH(A515,[1]NV6ship!A:A,0)),
                    IFERROR(
                        INDEX([1]NVship!B:B,MATCH(A515,[1]NVship!A:A,0)),
                        IFERROR(
                            INDEX([1]海ship!B:B,MATCH(A515,[1]海ship!A:A,0)),
                            IFERROR(
                                INDEX([1]ｾﾚship!B:B,MATCH(A515,[1]ｾﾚship!A:A,0)),
                                IFERROR(
                                    INDEX([1]ｾﾚﾓﾆｰ商品ship!B:B,MATCH(A515,[1]ｾﾚﾓﾆｰ商品ship!A:A,0)),
                                    INDEX([2]NV!D:D,MATCH(A515,[2]NV!C:C,0))
                                )
                            )
                        )
                    )
                )
            )
        )
    )
)</f>
        <v>しましまカラフルな消しゴムをつくろう</v>
      </c>
      <c r="C515" s="4" t="s">
        <v>368</v>
      </c>
      <c r="D515" s="10" t="str">
        <f t="shared" si="24"/>
        <v>しましまカラフルな消しゴムをつくろう ｜ 1Fノベルティ【03】 ｜ P-1</v>
      </c>
      <c r="E515" s="11" t="str">
        <f t="shared" si="25"/>
        <v>1Fノベルティ</v>
      </c>
      <c r="F515" s="12" t="s">
        <v>367</v>
      </c>
      <c r="G515" s="11" t="str">
        <f t="shared" si="26"/>
        <v>03・1FノベルティP-1</v>
      </c>
      <c r="H515" s="3"/>
    </row>
    <row r="516" spans="1:8" ht="15" customHeight="1" x14ac:dyDescent="0.2">
      <c r="A516" s="14" t="s">
        <v>697</v>
      </c>
      <c r="B516" s="10" t="str">
        <f>IFERROR(
    INDEX([1]FSHIP!B:B,MATCH(A516,[1]FSHIP!A:A,0)),
    IFERROR(
        INDEX([1]釣具商品ship!B:B,MATCH(A516,[1]釣具商品ship!A:A,0)),
        IFERROR(
            INDEX([1]玩具商品ship!B:B,MATCH(A516,[1]玩具商品ship!A:A,0)),
            IFERROR(
                INDEX([1]OEMship!B:B,MATCH(A516,[1]OEMship!A:A,0)),
                IFERROR(
                    INDEX([1]NV6ship!B:B,MATCH(A516,[1]NV6ship!A:A,0)),
                    IFERROR(
                        INDEX([1]NVship!B:B,MATCH(A516,[1]NVship!A:A,0)),
                        IFERROR(
                            INDEX([1]海ship!B:B,MATCH(A516,[1]海ship!A:A,0)),
                            IFERROR(
                                INDEX([1]ｾﾚship!B:B,MATCH(A516,[1]ｾﾚship!A:A,0)),
                                IFERROR(
                                    INDEX([1]ｾﾚﾓﾆｰ商品ship!B:B,MATCH(A516,[1]ｾﾚﾓﾆｰ商品ship!A:A,0)),
                                    INDEX([2]NV!D:D,MATCH(A516,[2]NV!C:C,0))
                                )
                            )
                        )
                    )
                )
            )
        )
    )
)</f>
        <v>結晶育成装置</v>
      </c>
      <c r="C516" s="16" t="s">
        <v>698</v>
      </c>
      <c r="D516" s="4" t="str">
        <f t="shared" si="24"/>
        <v>結晶育成装置 ｜ 資材倉庫・ノベルティ【10】 ｜ M-1</v>
      </c>
      <c r="E516" s="11" t="str">
        <f t="shared" si="25"/>
        <v>資材倉庫・ノベルティ</v>
      </c>
      <c r="F516" s="12" t="s">
        <v>699</v>
      </c>
      <c r="G516" s="11" t="str">
        <f t="shared" si="26"/>
        <v>10・資材倉庫・ノベルティM-1</v>
      </c>
      <c r="H516" s="3"/>
    </row>
    <row r="517" spans="1:8" ht="15" customHeight="1" x14ac:dyDescent="0.2">
      <c r="A517" s="10" t="s">
        <v>490</v>
      </c>
      <c r="B517" s="10" t="str">
        <f>IFERROR(
    INDEX([1]FSHIP!B:B,MATCH(A517,[1]FSHIP!A:A,0)),
    IFERROR(
        INDEX([1]釣具商品ship!B:B,MATCH(A517,[1]釣具商品ship!A:A,0)),
        IFERROR(
            INDEX([1]玩具商品ship!B:B,MATCH(A517,[1]玩具商品ship!A:A,0)),
            IFERROR(
                INDEX([1]OEMship!B:B,MATCH(A517,[1]OEMship!A:A,0)),
                IFERROR(
                    INDEX([1]NV6ship!B:B,MATCH(A517,[1]NV6ship!A:A,0)),
                    IFERROR(
                        INDEX([1]NVship!B:B,MATCH(A517,[1]NVship!A:A,0)),
                        IFERROR(
                            INDEX([1]海ship!B:B,MATCH(A517,[1]海ship!A:A,0)),
                            IFERROR(
                                INDEX([1]ｾﾚship!B:B,MATCH(A517,[1]ｾﾚship!A:A,0)),
                                IFERROR(
                                    INDEX([1]ｾﾚﾓﾆｰ商品ship!B:B,MATCH(A517,[1]ｾﾚﾓﾆｰ商品ship!A:A,0)),
                                    INDEX([2]NV!D:D,MATCH(A517,[2]NV!C:C,0))
                                )
                            )
                        )
                    )
                )
            )
        )
    )
)</f>
        <v>むにゅむにゅキャンバス</v>
      </c>
      <c r="C517" s="4" t="s">
        <v>382</v>
      </c>
      <c r="D517" s="10" t="str">
        <f t="shared" si="24"/>
        <v>むにゅむにゅキャンバス ｜ 資材倉庫・ノベルティ【10】 ｜ N-1</v>
      </c>
      <c r="E517" s="11" t="str">
        <f t="shared" si="25"/>
        <v>資材倉庫・ノベルティ</v>
      </c>
      <c r="F517" s="12" t="s">
        <v>477</v>
      </c>
      <c r="G517" s="11" t="str">
        <f t="shared" si="26"/>
        <v>10・資材倉庫・ノベルティN-1</v>
      </c>
      <c r="H517" s="3"/>
    </row>
    <row r="518" spans="1:8" ht="15" customHeight="1" x14ac:dyDescent="0.2">
      <c r="A518" s="10" t="s">
        <v>369</v>
      </c>
      <c r="B518" s="10" t="str">
        <f>IFERROR(
    INDEX([1]FSHIP!B:B,MATCH(A518,[1]FSHIP!A:A,0)),
    IFERROR(
        INDEX([1]釣具商品ship!B:B,MATCH(A518,[1]釣具商品ship!A:A,0)),
        IFERROR(
            INDEX([1]玩具商品ship!B:B,MATCH(A518,[1]玩具商品ship!A:A,0)),
            IFERROR(
                INDEX([1]OEMship!B:B,MATCH(A518,[1]OEMship!A:A,0)),
                IFERROR(
                    INDEX([1]NV6ship!B:B,MATCH(A518,[1]NV6ship!A:A,0)),
                    IFERROR(
                        INDEX([1]NVship!B:B,MATCH(A518,[1]NVship!A:A,0)),
                        IFERROR(
                            INDEX([1]海ship!B:B,MATCH(A518,[1]海ship!A:A,0)),
                            IFERROR(
                                INDEX([1]ｾﾚship!B:B,MATCH(A518,[1]ｾﾚship!A:A,0)),
                                IFERROR(
                                    INDEX([1]ｾﾚﾓﾆｰ商品ship!B:B,MATCH(A518,[1]ｾﾚﾓﾆｰ商品ship!A:A,0)),
                                    INDEX([2]NV!D:D,MATCH(A518,[2]NV!C:C,0))
                                )
                            )
                        )
                    )
                )
            )
        )
    )
)</f>
        <v>おうちでできる　ペットボトルスコープ</v>
      </c>
      <c r="C518" s="4" t="s">
        <v>368</v>
      </c>
      <c r="D518" s="10" t="str">
        <f t="shared" si="24"/>
        <v>おうちでできる　ペットボトルスコープ ｜ 1Fノベルティ【03】 ｜ P-1</v>
      </c>
      <c r="E518" s="11" t="str">
        <f t="shared" si="25"/>
        <v>1Fノベルティ</v>
      </c>
      <c r="F518" s="12" t="s">
        <v>367</v>
      </c>
      <c r="G518" s="11" t="str">
        <f t="shared" si="26"/>
        <v>03・1FノベルティP-1</v>
      </c>
      <c r="H518" s="3"/>
    </row>
    <row r="519" spans="1:8" ht="15" customHeight="1" x14ac:dyDescent="0.2">
      <c r="A519" s="10" t="s">
        <v>484</v>
      </c>
      <c r="B519" s="10" t="str">
        <f>IFERROR(
    INDEX([1]FSHIP!B:B,MATCH(A519,[1]FSHIP!A:A,0)),
    IFERROR(
        INDEX([1]釣具商品ship!B:B,MATCH(A519,[1]釣具商品ship!A:A,0)),
        IFERROR(
            INDEX([1]玩具商品ship!B:B,MATCH(A519,[1]玩具商品ship!A:A,0)),
            IFERROR(
                INDEX([1]OEMship!B:B,MATCH(A519,[1]OEMship!A:A,0)),
                IFERROR(
                    INDEX([1]NV6ship!B:B,MATCH(A519,[1]NV6ship!A:A,0)),
                    IFERROR(
                        INDEX([1]NVship!B:B,MATCH(A519,[1]NVship!A:A,0)),
                        IFERROR(
                            INDEX([1]海ship!B:B,MATCH(A519,[1]海ship!A:A,0)),
                            IFERROR(
                                INDEX([1]ｾﾚship!B:B,MATCH(A519,[1]ｾﾚship!A:A,0)),
                                IFERROR(
                                    INDEX([1]ｾﾚﾓﾆｰ商品ship!B:B,MATCH(A519,[1]ｾﾚﾓﾆｰ商品ship!A:A,0)),
                                    INDEX([2]NV!D:D,MATCH(A519,[2]NV!C:C,0))
                                )
                            )
                        )
                    )
                )
            )
        )
    )
)</f>
        <v>せっけんDIYキット～きょうりゅう～</v>
      </c>
      <c r="C519" s="4" t="s">
        <v>391</v>
      </c>
      <c r="D519" s="10" t="str">
        <f t="shared" si="24"/>
        <v>せっけんDIYキット～きょうりゅう～ ｜ 資材倉庫・ノベルティ【10】 ｜ M-1</v>
      </c>
      <c r="E519" s="11" t="str">
        <f t="shared" si="25"/>
        <v>資材倉庫・ノベルティ</v>
      </c>
      <c r="F519" s="12" t="s">
        <v>477</v>
      </c>
      <c r="G519" s="11" t="str">
        <f t="shared" si="26"/>
        <v>10・資材倉庫・ノベルティM-1</v>
      </c>
      <c r="H519" s="3"/>
    </row>
    <row r="520" spans="1:8" ht="15" customHeight="1" x14ac:dyDescent="0.2">
      <c r="A520" s="10" t="s">
        <v>491</v>
      </c>
      <c r="B520" s="10" t="str">
        <f>IFERROR(
    INDEX([1]FSHIP!B:B,MATCH(A520,[1]FSHIP!A:A,0)),
    IFERROR(
        INDEX([1]釣具商品ship!B:B,MATCH(A520,[1]釣具商品ship!A:A,0)),
        IFERROR(
            INDEX([1]玩具商品ship!B:B,MATCH(A520,[1]玩具商品ship!A:A,0)),
            IFERROR(
                INDEX([1]OEMship!B:B,MATCH(A520,[1]OEMship!A:A,0)),
                IFERROR(
                    INDEX([1]NV6ship!B:B,MATCH(A520,[1]NV6ship!A:A,0)),
                    IFERROR(
                        INDEX([1]NVship!B:B,MATCH(A520,[1]NVship!A:A,0)),
                        IFERROR(
                            INDEX([1]海ship!B:B,MATCH(A520,[1]海ship!A:A,0)),
                            IFERROR(
                                INDEX([1]ｾﾚship!B:B,MATCH(A520,[1]ｾﾚship!A:A,0)),
                                IFERROR(
                                    INDEX([1]ｾﾚﾓﾆｰ商品ship!B:B,MATCH(A520,[1]ｾﾚﾓﾆｰ商品ship!A:A,0)),
                                    INDEX([2]NV!D:D,MATCH(A520,[2]NV!C:C,0))
                                )
                            )
                        )
                    )
                )
            )
        )
    )
)</f>
        <v>新化学のﾋｶﾘ水でいろいろな色を作ろう</v>
      </c>
      <c r="C520" s="4" t="s">
        <v>382</v>
      </c>
      <c r="D520" s="10" t="str">
        <f t="shared" si="24"/>
        <v>新化学のﾋｶﾘ水でいろいろな色を作ろう ｜ 資材倉庫・ノベルティ【10】 ｜ N-1</v>
      </c>
      <c r="E520" s="11" t="str">
        <f t="shared" si="25"/>
        <v>資材倉庫・ノベルティ</v>
      </c>
      <c r="F520" s="12" t="s">
        <v>477</v>
      </c>
      <c r="G520" s="11" t="str">
        <f t="shared" si="26"/>
        <v>10・資材倉庫・ノベルティN-1</v>
      </c>
      <c r="H520" s="3"/>
    </row>
    <row r="521" spans="1:8" ht="15" customHeight="1" x14ac:dyDescent="0.2">
      <c r="A521" s="10" t="s">
        <v>492</v>
      </c>
      <c r="B521" s="10" t="str">
        <f>IFERROR(
    INDEX([1]FSHIP!B:B,MATCH(A521,[1]FSHIP!A:A,0)),
    IFERROR(
        INDEX([1]釣具商品ship!B:B,MATCH(A521,[1]釣具商品ship!A:A,0)),
        IFERROR(
            INDEX([1]玩具商品ship!B:B,MATCH(A521,[1]玩具商品ship!A:A,0)),
            IFERROR(
                INDEX([1]OEMship!B:B,MATCH(A521,[1]OEMship!A:A,0)),
                IFERROR(
                    INDEX([1]NV6ship!B:B,MATCH(A521,[1]NV6ship!A:A,0)),
                    IFERROR(
                        INDEX([1]NVship!B:B,MATCH(A521,[1]NVship!A:A,0)),
                        IFERROR(
                            INDEX([1]海ship!B:B,MATCH(A521,[1]海ship!A:A,0)),
                            IFERROR(
                                INDEX([1]ｾﾚship!B:B,MATCH(A521,[1]ｾﾚship!A:A,0)),
                                IFERROR(
                                    INDEX([1]ｾﾚﾓﾆｰ商品ship!B:B,MATCH(A521,[1]ｾﾚﾓﾆｰ商品ship!A:A,0)),
                                    INDEX([2]NV!D:D,MATCH(A521,[2]NV!C:C,0))
                                )
                            )
                        )
                    )
                )
            )
        )
    )
)</f>
        <v>せっけんDIYキット～海のいきもの～</v>
      </c>
      <c r="C521" s="4" t="s">
        <v>382</v>
      </c>
      <c r="D521" s="10" t="str">
        <f t="shared" si="24"/>
        <v>せっけんDIYキット～海のいきもの～ ｜ 資材倉庫・ノベルティ【10】 ｜ N-1</v>
      </c>
      <c r="E521" s="11" t="str">
        <f t="shared" si="25"/>
        <v>資材倉庫・ノベルティ</v>
      </c>
      <c r="F521" s="12" t="s">
        <v>477</v>
      </c>
      <c r="G521" s="11" t="str">
        <f t="shared" si="26"/>
        <v>10・資材倉庫・ノベルティN-1</v>
      </c>
      <c r="H521" s="3"/>
    </row>
    <row r="522" spans="1:8" ht="15" customHeight="1" x14ac:dyDescent="0.2">
      <c r="A522" s="10" t="s">
        <v>638</v>
      </c>
      <c r="B522" s="10" t="str">
        <f>IFERROR(
    INDEX([1]FSHIP!B:B,MATCH(A522,[1]FSHIP!A:A,0)),
    IFERROR(
        INDEX([1]釣具商品ship!B:B,MATCH(A522,[1]釣具商品ship!A:A,0)),
        IFERROR(
            INDEX([1]玩具商品ship!B:B,MATCH(A522,[1]玩具商品ship!A:A,0)),
            IFERROR(
                INDEX([1]OEMship!B:B,MATCH(A522,[1]OEMship!A:A,0)),
                IFERROR(
                    INDEX([1]NV6ship!B:B,MATCH(A522,[1]NV6ship!A:A,0)),
                    IFERROR(
                        INDEX([1]NVship!B:B,MATCH(A522,[1]NVship!A:A,0)),
                        IFERROR(
                            INDEX([1]海ship!B:B,MATCH(A522,[1]海ship!A:A,0)),
                            IFERROR(
                                INDEX([1]ｾﾚship!B:B,MATCH(A522,[1]ｾﾚship!A:A,0)),
                                IFERROR(
                                    INDEX([1]ｾﾚﾓﾆｰ商品ship!B:B,MATCH(A522,[1]ｾﾚﾓﾆｰ商品ship!A:A,0)),
                                    INDEX([2]NV!D:D,MATCH(A522,[2]NV!C:C,0))
                                )
                            )
                        )
                    )
                )
            )
        )
    )
)</f>
        <v>ゼンマイの仕組みを知ろう</v>
      </c>
      <c r="C522" s="4" t="s">
        <v>472</v>
      </c>
      <c r="D522" s="10" t="str">
        <f t="shared" si="24"/>
        <v>ゼンマイの仕組みを知ろう ｜ 資材倉庫・ノベルティ【10】 ｜ A-1</v>
      </c>
      <c r="E522" s="11" t="str">
        <f t="shared" si="25"/>
        <v>資材倉庫・ノベルティ</v>
      </c>
      <c r="F522" s="12" t="s">
        <v>674</v>
      </c>
      <c r="G522" s="11" t="str">
        <f t="shared" si="26"/>
        <v>10・資材倉庫・ノベルティA-1</v>
      </c>
      <c r="H522" s="3"/>
    </row>
    <row r="523" spans="1:8" ht="15" customHeight="1" x14ac:dyDescent="0.2">
      <c r="A523" s="10" t="s">
        <v>483</v>
      </c>
      <c r="B523" s="10" t="str">
        <f>IFERROR(
    INDEX([1]FSHIP!B:B,MATCH(A523,[1]FSHIP!A:A,0)),
    IFERROR(
        INDEX([1]釣具商品ship!B:B,MATCH(A523,[1]釣具商品ship!A:A,0)),
        IFERROR(
            INDEX([1]玩具商品ship!B:B,MATCH(A523,[1]玩具商品ship!A:A,0)),
            IFERROR(
                INDEX([1]OEMship!B:B,MATCH(A523,[1]OEMship!A:A,0)),
                IFERROR(
                    INDEX([1]NV6ship!B:B,MATCH(A523,[1]NV6ship!A:A,0)),
                    IFERROR(
                        INDEX([1]NVship!B:B,MATCH(A523,[1]NVship!A:A,0)),
                        IFERROR(
                            INDEX([1]海ship!B:B,MATCH(A523,[1]海ship!A:A,0)),
                            IFERROR(
                                INDEX([1]ｾﾚship!B:B,MATCH(A523,[1]ｾﾚship!A:A,0)),
                                IFERROR(
                                    INDEX([1]ｾﾚﾓﾆｰ商品ship!B:B,MATCH(A523,[1]ｾﾚﾓﾆｰ商品ship!A:A,0)),
                                    INDEX([2]NV!D:D,MATCH(A523,[2]NV!C:C,0))
                                )
                            )
                        )
                    )
                )
            )
        )
    )
)</f>
        <v>エコカイロの仕組みを知ろう</v>
      </c>
      <c r="C523" s="4" t="s">
        <v>391</v>
      </c>
      <c r="D523" s="10" t="str">
        <f t="shared" si="24"/>
        <v>エコカイロの仕組みを知ろう ｜ 資材倉庫・ノベルティ【10】 ｜ M-1</v>
      </c>
      <c r="E523" s="11" t="str">
        <f t="shared" si="25"/>
        <v>資材倉庫・ノベルティ</v>
      </c>
      <c r="F523" s="12" t="s">
        <v>477</v>
      </c>
      <c r="G523" s="11" t="str">
        <f t="shared" si="26"/>
        <v>10・資材倉庫・ノベルティM-1</v>
      </c>
      <c r="H523" s="3"/>
    </row>
    <row r="524" spans="1:8" ht="15" customHeight="1" x14ac:dyDescent="0.2">
      <c r="A524" s="14" t="s">
        <v>804</v>
      </c>
      <c r="B524" s="10" t="str">
        <f>IFERROR(
    INDEX([1]FSHIP!B:B,MATCH(A524,[1]FSHIP!A:A,0)),
    IFERROR(
        INDEX([1]釣具商品ship!B:B,MATCH(A524,[1]釣具商品ship!A:A,0)),
        IFERROR(
            INDEX([1]玩具商品ship!B:B,MATCH(A524,[1]玩具商品ship!A:A,0)),
            IFERROR(
                INDEX([1]OEMship!B:B,MATCH(A524,[1]OEMship!A:A,0)),
                IFERROR(
                    INDEX([1]NV6ship!B:B,MATCH(A524,[1]NV6ship!A:A,0)),
                    IFERROR(
                        INDEX([1]NVship!B:B,MATCH(A524,[1]NVship!A:A,0)),
                        IFERROR(
                            INDEX([1]海ship!B:B,MATCH(A524,[1]海ship!A:A,0)),
                            IFERROR(
                                INDEX([1]ｾﾚship!B:B,MATCH(A524,[1]ｾﾚship!A:A,0)),
                                IFERROR(
                                    INDEX([1]ｾﾚﾓﾆｰ商品ship!B:B,MATCH(A524,[1]ｾﾚﾓﾆｰ商品ship!A:A,0)),
                                    INDEX([2]NV!D:D,MATCH(A524,[2]NV!C:C,0))
                                )
                            )
                        )
                    )
                )
            )
        )
    )
)</f>
        <v>ﾙﾐｶ･ｾﾚﾓﾆｰｾｯﾄ NS37(500ml) ﾌﾞﾙｰ</v>
      </c>
      <c r="C524" s="16" t="s">
        <v>802</v>
      </c>
      <c r="D524" s="4" t="str">
        <f t="shared" si="24"/>
        <v>ﾙﾐｶ･ｾﾚﾓﾆｰｾｯﾄ NS37(500ml) ﾌﾞﾙｰ ｜ 2F【05】 ｜ A-1</v>
      </c>
      <c r="E524" s="11" t="str">
        <f t="shared" si="25"/>
        <v>2F</v>
      </c>
      <c r="F524" s="12" t="s">
        <v>803</v>
      </c>
      <c r="G524" s="11" t="str">
        <f t="shared" si="26"/>
        <v>05・2FA-1</v>
      </c>
      <c r="H524" s="3"/>
    </row>
    <row r="525" spans="1:8" ht="15" customHeight="1" x14ac:dyDescent="0.2">
      <c r="A525" s="14" t="s">
        <v>805</v>
      </c>
      <c r="B525" s="10" t="str">
        <f>IFERROR(
    INDEX([1]FSHIP!B:B,MATCH(A525,[1]FSHIP!A:A,0)),
    IFERROR(
        INDEX([1]釣具商品ship!B:B,MATCH(A525,[1]釣具商品ship!A:A,0)),
        IFERROR(
            INDEX([1]玩具商品ship!B:B,MATCH(A525,[1]玩具商品ship!A:A,0)),
            IFERROR(
                INDEX([1]OEMship!B:B,MATCH(A525,[1]OEMship!A:A,0)),
                IFERROR(
                    INDEX([1]NV6ship!B:B,MATCH(A525,[1]NV6ship!A:A,0)),
                    IFERROR(
                        INDEX([1]NVship!B:B,MATCH(A525,[1]NVship!A:A,0)),
                        IFERROR(
                            INDEX([1]海ship!B:B,MATCH(A525,[1]海ship!A:A,0)),
                            IFERROR(
                                INDEX([1]ｾﾚship!B:B,MATCH(A525,[1]ｾﾚship!A:A,0)),
                                IFERROR(
                                    INDEX([1]ｾﾚﾓﾆｰ商品ship!B:B,MATCH(A525,[1]ｾﾚﾓﾆｰ商品ship!A:A,0)),
                                    INDEX([2]NV!D:D,MATCH(A525,[2]NV!C:C,0))
                                )
                            )
                        )
                    )
                )
            )
        )
    )
)</f>
        <v>ﾙﾐｶ･ｾﾚﾓﾆｰｾｯﾄ NS37(500ml) ﾋﾟﾝｸ</v>
      </c>
      <c r="C525" s="16" t="s">
        <v>802</v>
      </c>
      <c r="D525" s="4" t="str">
        <f t="shared" si="24"/>
        <v>ﾙﾐｶ･ｾﾚﾓﾆｰｾｯﾄ NS37(500ml) ﾋﾟﾝｸ ｜ 2F【05】 ｜ A-1</v>
      </c>
      <c r="E525" s="11" t="str">
        <f t="shared" si="25"/>
        <v>2F</v>
      </c>
      <c r="F525" s="12" t="s">
        <v>803</v>
      </c>
      <c r="G525" s="11" t="str">
        <f t="shared" si="26"/>
        <v>05・2FA-1</v>
      </c>
      <c r="H525" s="3"/>
    </row>
    <row r="526" spans="1:8" ht="15" customHeight="1" x14ac:dyDescent="0.2">
      <c r="A526" s="14" t="s">
        <v>801</v>
      </c>
      <c r="B526" s="10" t="str">
        <f>IFERROR(
    INDEX([1]FSHIP!B:B,MATCH(A526,[1]FSHIP!A:A,0)),
    IFERROR(
        INDEX([1]釣具商品ship!B:B,MATCH(A526,[1]釣具商品ship!A:A,0)),
        IFERROR(
            INDEX([1]玩具商品ship!B:B,MATCH(A526,[1]玩具商品ship!A:A,0)),
            IFERROR(
                INDEX([1]OEMship!B:B,MATCH(A526,[1]OEMship!A:A,0)),
                IFERROR(
                    INDEX([1]NV6ship!B:B,MATCH(A526,[1]NV6ship!A:A,0)),
                    IFERROR(
                        INDEX([1]NVship!B:B,MATCH(A526,[1]NVship!A:A,0)),
                        IFERROR(
                            INDEX([1]海ship!B:B,MATCH(A526,[1]海ship!A:A,0)),
                            IFERROR(
                                INDEX([1]ｾﾚship!B:B,MATCH(A526,[1]ｾﾚship!A:A,0)),
                                IFERROR(
                                    INDEX([1]ｾﾚﾓﾆｰ商品ship!B:B,MATCH(A526,[1]ｾﾚﾓﾆｰ商品ship!A:A,0)),
                                    INDEX([2]NV!D:D,MATCH(A526,[2]NV!C:C,0))
                                )
                            )
                        )
                    )
                )
            )
        )
    )
)</f>
        <v>ﾙﾐｶ･ｾﾚﾓﾆｰｾｯﾄ NS37(500ml) OWB</v>
      </c>
      <c r="C526" s="16" t="s">
        <v>802</v>
      </c>
      <c r="D526" s="4" t="str">
        <f t="shared" si="24"/>
        <v>ﾙﾐｶ･ｾﾚﾓﾆｰｾｯﾄ NS37(500ml) OWB ｜ 2F【05】 ｜ A-1</v>
      </c>
      <c r="E526" s="11" t="str">
        <f t="shared" si="25"/>
        <v>2F</v>
      </c>
      <c r="F526" s="12" t="s">
        <v>803</v>
      </c>
      <c r="G526" s="11" t="str">
        <f t="shared" si="26"/>
        <v>05・2FA-1</v>
      </c>
      <c r="H526" s="3"/>
    </row>
    <row r="527" spans="1:8" ht="15" customHeight="1" x14ac:dyDescent="0.2">
      <c r="A527" s="14" t="s">
        <v>819</v>
      </c>
      <c r="B527" s="10" t="str">
        <f>IFERROR(
    INDEX([1]FSHIP!B:B,MATCH(A527,[1]FSHIP!A:A,0)),
    IFERROR(
        INDEX([1]釣具商品ship!B:B,MATCH(A527,[1]釣具商品ship!A:A,0)),
        IFERROR(
            INDEX([1]玩具商品ship!B:B,MATCH(A527,[1]玩具商品ship!A:A,0)),
            IFERROR(
                INDEX([1]OEMship!B:B,MATCH(A527,[1]OEMship!A:A,0)),
                IFERROR(
                    INDEX([1]NV6ship!B:B,MATCH(A527,[1]NV6ship!A:A,0)),
                    IFERROR(
                        INDEX([1]NVship!B:B,MATCH(A527,[1]NVship!A:A,0)),
                        IFERROR(
                            INDEX([1]海ship!B:B,MATCH(A527,[1]海ship!A:A,0)),
                            IFERROR(
                                INDEX([1]ｾﾚship!B:B,MATCH(A527,[1]ｾﾚship!A:A,0)),
                                IFERROR(
                                    INDEX([1]ｾﾚﾓﾆｰ商品ship!B:B,MATCH(A527,[1]ｾﾚﾓﾆｰ商品ship!A:A,0)),
                                    INDEX([2]NV!D:D,MATCH(A527,[2]NV!C:C,0))
                                )
                            )
                        )
                    )
                )
            )
        )
    )
)</f>
        <v>ﾙﾐｶ･ｾﾚﾓﾆｰｾｯﾄ NS37(500ml) ｴﾒﾗﾙﾄﾞ</v>
      </c>
      <c r="C527" s="16" t="s">
        <v>802</v>
      </c>
      <c r="D527" s="4" t="str">
        <f t="shared" si="24"/>
        <v>ﾙﾐｶ･ｾﾚﾓﾆｰｾｯﾄ NS37(500ml) ｴﾒﾗﾙﾄﾞ ｜ 2F【05】 ｜ A-1</v>
      </c>
      <c r="E527" s="11" t="str">
        <f t="shared" si="25"/>
        <v>2F</v>
      </c>
      <c r="F527" s="12" t="s">
        <v>803</v>
      </c>
      <c r="G527" s="11" t="str">
        <f t="shared" si="26"/>
        <v>05・2FA-1</v>
      </c>
      <c r="H527" s="3"/>
    </row>
    <row r="528" spans="1:8" ht="15" customHeight="1" x14ac:dyDescent="0.2">
      <c r="A528" s="14" t="s">
        <v>855</v>
      </c>
      <c r="B528" s="10" t="str">
        <f>IFERROR(
    INDEX([1]FSHIP!B:B,MATCH(A528,[1]FSHIP!A:A,0)),
    IFERROR(
        INDEX([1]釣具商品ship!B:B,MATCH(A528,[1]釣具商品ship!A:A,0)),
        IFERROR(
            INDEX([1]玩具商品ship!B:B,MATCH(A528,[1]玩具商品ship!A:A,0)),
            IFERROR(
                INDEX([1]OEMship!B:B,MATCH(A528,[1]OEMship!A:A,0)),
                IFERROR(
                    INDEX([1]NV6ship!B:B,MATCH(A528,[1]NV6ship!A:A,0)),
                    IFERROR(
                        INDEX([1]NVship!B:B,MATCH(A528,[1]NVship!A:A,0)),
                        IFERROR(
                            INDEX([1]海ship!B:B,MATCH(A528,[1]海ship!A:A,0)),
                            IFERROR(
                                INDEX([1]ｾﾚship!B:B,MATCH(A528,[1]ｾﾚship!A:A,0)),
                                IFERROR(
                                    INDEX([1]ｾﾚﾓﾆｰ商品ship!B:B,MATCH(A528,[1]ｾﾚﾓﾆｰ商品ship!A:A,0)),
                                    INDEX([2]NV!D:D,MATCH(A528,[2]NV!C:C,0))
                                )
                            )
                        )
                    )
                )
            )
        )
    )
)</f>
        <v>ﾙﾐｶ･ﾌﾙｰﾙ【花びら】100枚</v>
      </c>
      <c r="C528" s="16" t="s">
        <v>848</v>
      </c>
      <c r="D528" s="4" t="str">
        <f t="shared" si="24"/>
        <v>ﾙﾐｶ･ﾌﾙｰﾙ【花びら】100枚 ｜ 2F【05】 ｜ B-1</v>
      </c>
      <c r="E528" s="11" t="str">
        <f t="shared" si="25"/>
        <v>2F</v>
      </c>
      <c r="F528" s="12" t="s">
        <v>803</v>
      </c>
      <c r="G528" s="11" t="str">
        <f t="shared" si="26"/>
        <v>05・2FB-1</v>
      </c>
      <c r="H528" s="3"/>
    </row>
    <row r="529" spans="1:8" ht="15" customHeight="1" x14ac:dyDescent="0.2">
      <c r="A529" s="14" t="s">
        <v>850</v>
      </c>
      <c r="B529" s="10" t="str">
        <f>IFERROR(
    INDEX([1]FSHIP!B:B,MATCH(A529,[1]FSHIP!A:A,0)),
    IFERROR(
        INDEX([1]釣具商品ship!B:B,MATCH(A529,[1]釣具商品ship!A:A,0)),
        IFERROR(
            INDEX([1]玩具商品ship!B:B,MATCH(A529,[1]玩具商品ship!A:A,0)),
            IFERROR(
                INDEX([1]OEMship!B:B,MATCH(A529,[1]OEMship!A:A,0)),
                IFERROR(
                    INDEX([1]NV6ship!B:B,MATCH(A529,[1]NV6ship!A:A,0)),
                    IFERROR(
                        INDEX([1]NVship!B:B,MATCH(A529,[1]NVship!A:A,0)),
                        IFERROR(
                            INDEX([1]海ship!B:B,MATCH(A529,[1]海ship!A:A,0)),
                            IFERROR(
                                INDEX([1]ｾﾚship!B:B,MATCH(A529,[1]ｾﾚship!A:A,0)),
                                IFERROR(
                                    INDEX([1]ｾﾚﾓﾆｰ商品ship!B:B,MATCH(A529,[1]ｾﾚﾓﾆｰ商品ship!A:A,0)),
                                    INDEX([2]NV!D:D,MATCH(A529,[2]NV!C:C,0))
                                )
                            )
                        )
                    )
                )
            )
        )
    )
)</f>
        <v>ﾙﾐｶ･ﾌﾙｰﾙ【バラ】12本</v>
      </c>
      <c r="C529" s="16" t="s">
        <v>848</v>
      </c>
      <c r="D529" s="4" t="str">
        <f t="shared" si="24"/>
        <v>ﾙﾐｶ･ﾌﾙｰﾙ【バラ】12本 ｜ 2F【05】 ｜ B-1</v>
      </c>
      <c r="E529" s="11" t="str">
        <f t="shared" si="25"/>
        <v>2F</v>
      </c>
      <c r="F529" s="12" t="s">
        <v>803</v>
      </c>
      <c r="G529" s="11" t="str">
        <f t="shared" si="26"/>
        <v>05・2FB-1</v>
      </c>
      <c r="H529" s="3"/>
    </row>
    <row r="530" spans="1:8" ht="15" customHeight="1" x14ac:dyDescent="0.2">
      <c r="A530" s="14" t="s">
        <v>849</v>
      </c>
      <c r="B530" s="10" t="str">
        <f>IFERROR(
    INDEX([1]FSHIP!B:B,MATCH(A530,[1]FSHIP!A:A,0)),
    IFERROR(
        INDEX([1]釣具商品ship!B:B,MATCH(A530,[1]釣具商品ship!A:A,0)),
        IFERROR(
            INDEX([1]玩具商品ship!B:B,MATCH(A530,[1]玩具商品ship!A:A,0)),
            IFERROR(
                INDEX([1]OEMship!B:B,MATCH(A530,[1]OEMship!A:A,0)),
                IFERROR(
                    INDEX([1]NV6ship!B:B,MATCH(A530,[1]NV6ship!A:A,0)),
                    IFERROR(
                        INDEX([1]NVship!B:B,MATCH(A530,[1]NVship!A:A,0)),
                        IFERROR(
                            INDEX([1]海ship!B:B,MATCH(A530,[1]海ship!A:A,0)),
                            IFERROR(
                                INDEX([1]ｾﾚship!B:B,MATCH(A530,[1]ｾﾚship!A:A,0)),
                                IFERROR(
                                    INDEX([1]ｾﾚﾓﾆｰ商品ship!B:B,MATCH(A530,[1]ｾﾚﾓﾆｰ商品ship!A:A,0)),
                                    INDEX([2]NV!D:D,MATCH(A530,[2]NV!C:C,0))
                                )
                            )
                        )
                    )
                )
            )
        )
    )
)</f>
        <v>ﾙﾐｶ･ﾌﾙｰﾙ【バラ】12本　ｲｴﾛｰ</v>
      </c>
      <c r="C530" s="16" t="s">
        <v>848</v>
      </c>
      <c r="D530" s="4" t="str">
        <f t="shared" si="24"/>
        <v>ﾙﾐｶ･ﾌﾙｰﾙ【バラ】12本　ｲｴﾛｰ ｜ 2F【05】 ｜ B-1</v>
      </c>
      <c r="E530" s="11" t="str">
        <f t="shared" si="25"/>
        <v>2F</v>
      </c>
      <c r="F530" s="12" t="s">
        <v>803</v>
      </c>
      <c r="G530" s="11" t="str">
        <f t="shared" si="26"/>
        <v>05・2FB-1</v>
      </c>
      <c r="H530" s="3"/>
    </row>
    <row r="531" spans="1:8" ht="15" customHeight="1" x14ac:dyDescent="0.2">
      <c r="A531" s="14" t="s">
        <v>851</v>
      </c>
      <c r="B531" s="10" t="str">
        <f>IFERROR(
    INDEX([1]FSHIP!B:B,MATCH(A531,[1]FSHIP!A:A,0)),
    IFERROR(
        INDEX([1]釣具商品ship!B:B,MATCH(A531,[1]釣具商品ship!A:A,0)),
        IFERROR(
            INDEX([1]玩具商品ship!B:B,MATCH(A531,[1]玩具商品ship!A:A,0)),
            IFERROR(
                INDEX([1]OEMship!B:B,MATCH(A531,[1]OEMship!A:A,0)),
                IFERROR(
                    INDEX([1]NV6ship!B:B,MATCH(A531,[1]NV6ship!A:A,0)),
                    IFERROR(
                        INDEX([1]NVship!B:B,MATCH(A531,[1]NVship!A:A,0)),
                        IFERROR(
                            INDEX([1]海ship!B:B,MATCH(A531,[1]海ship!A:A,0)),
                            IFERROR(
                                INDEX([1]ｾﾚship!B:B,MATCH(A531,[1]ｾﾚship!A:A,0)),
                                IFERROR(
                                    INDEX([1]ｾﾚﾓﾆｰ商品ship!B:B,MATCH(A531,[1]ｾﾚﾓﾆｰ商品ship!A:A,0)),
                                    INDEX([2]NV!D:D,MATCH(A531,[2]NV!C:C,0))
                                )
                            )
                        )
                    )
                )
            )
        )
    )
)</f>
        <v>ﾙﾐｶ･ﾌﾙｰﾙ【バラ】12本　ｸﾞﾘｰﾝ</v>
      </c>
      <c r="C531" s="16" t="s">
        <v>848</v>
      </c>
      <c r="D531" s="4" t="str">
        <f t="shared" si="24"/>
        <v>ﾙﾐｶ･ﾌﾙｰﾙ【バラ】12本　ｸﾞﾘｰﾝ ｜ 2F【05】 ｜ B-1</v>
      </c>
      <c r="E531" s="11" t="str">
        <f t="shared" si="25"/>
        <v>2F</v>
      </c>
      <c r="F531" s="12" t="s">
        <v>803</v>
      </c>
      <c r="G531" s="11" t="str">
        <f t="shared" si="26"/>
        <v>05・2FB-1</v>
      </c>
      <c r="H531" s="3"/>
    </row>
    <row r="532" spans="1:8" ht="15" customHeight="1" x14ac:dyDescent="0.2">
      <c r="A532" s="14" t="s">
        <v>852</v>
      </c>
      <c r="B532" s="10" t="str">
        <f>IFERROR(
    INDEX([1]FSHIP!B:B,MATCH(A532,[1]FSHIP!A:A,0)),
    IFERROR(
        INDEX([1]釣具商品ship!B:B,MATCH(A532,[1]釣具商品ship!A:A,0)),
        IFERROR(
            INDEX([1]玩具商品ship!B:B,MATCH(A532,[1]玩具商品ship!A:A,0)),
            IFERROR(
                INDEX([1]OEMship!B:B,MATCH(A532,[1]OEMship!A:A,0)),
                IFERROR(
                    INDEX([1]NV6ship!B:B,MATCH(A532,[1]NV6ship!A:A,0)),
                    IFERROR(
                        INDEX([1]NVship!B:B,MATCH(A532,[1]NVship!A:A,0)),
                        IFERROR(
                            INDEX([1]海ship!B:B,MATCH(A532,[1]海ship!A:A,0)),
                            IFERROR(
                                INDEX([1]ｾﾚship!B:B,MATCH(A532,[1]ｾﾚship!A:A,0)),
                                IFERROR(
                                    INDEX([1]ｾﾚﾓﾆｰ商品ship!B:B,MATCH(A532,[1]ｾﾚﾓﾆｰ商品ship!A:A,0)),
                                    INDEX([2]NV!D:D,MATCH(A532,[2]NV!C:C,0))
                                )
                            )
                        )
                    )
                )
            )
        )
    )
)</f>
        <v>ﾙﾐｶ･ﾌﾙｰﾙ【バラ】12本　ﾊﾞｲｵﾚｯﾄ</v>
      </c>
      <c r="C532" s="16" t="s">
        <v>848</v>
      </c>
      <c r="D532" s="4" t="str">
        <f t="shared" si="24"/>
        <v>ﾙﾐｶ･ﾌﾙｰﾙ【バラ】12本　ﾊﾞｲｵﾚｯﾄ ｜ 2F【05】 ｜ B-1</v>
      </c>
      <c r="E532" s="11" t="str">
        <f t="shared" si="25"/>
        <v>2F</v>
      </c>
      <c r="F532" s="12" t="s">
        <v>803</v>
      </c>
      <c r="G532" s="11" t="str">
        <f t="shared" si="26"/>
        <v>05・2FB-1</v>
      </c>
      <c r="H532" s="3"/>
    </row>
    <row r="533" spans="1:8" ht="15" customHeight="1" x14ac:dyDescent="0.2">
      <c r="A533" s="14" t="s">
        <v>854</v>
      </c>
      <c r="B533" s="10" t="str">
        <f>IFERROR(
    INDEX([1]FSHIP!B:B,MATCH(A533,[1]FSHIP!A:A,0)),
    IFERROR(
        INDEX([1]釣具商品ship!B:B,MATCH(A533,[1]釣具商品ship!A:A,0)),
        IFERROR(
            INDEX([1]玩具商品ship!B:B,MATCH(A533,[1]玩具商品ship!A:A,0)),
            IFERROR(
                INDEX([1]OEMship!B:B,MATCH(A533,[1]OEMship!A:A,0)),
                IFERROR(
                    INDEX([1]NV6ship!B:B,MATCH(A533,[1]NV6ship!A:A,0)),
                    IFERROR(
                        INDEX([1]NVship!B:B,MATCH(A533,[1]NVship!A:A,0)),
                        IFERROR(
                            INDEX([1]海ship!B:B,MATCH(A533,[1]海ship!A:A,0)),
                            IFERROR(
                                INDEX([1]ｾﾚship!B:B,MATCH(A533,[1]ｾﾚship!A:A,0)),
                                IFERROR(
                                    INDEX([1]ｾﾚﾓﾆｰ商品ship!B:B,MATCH(A533,[1]ｾﾚﾓﾆｰ商品ship!A:A,0)),
                                    INDEX([2]NV!D:D,MATCH(A533,[2]NV!C:C,0))
                                )
                            )
                        )
                    )
                )
            )
        )
    )
)</f>
        <v>ﾙﾐｶ･ﾌﾙｰﾙ【バラ】12本　ﾋﾟﾝｸ</v>
      </c>
      <c r="C533" s="16" t="s">
        <v>848</v>
      </c>
      <c r="D533" s="4" t="str">
        <f t="shared" si="24"/>
        <v>ﾙﾐｶ･ﾌﾙｰﾙ【バラ】12本　ﾋﾟﾝｸ ｜ 2F【05】 ｜ B-1</v>
      </c>
      <c r="E533" s="11" t="str">
        <f t="shared" si="25"/>
        <v>2F</v>
      </c>
      <c r="F533" s="12" t="s">
        <v>803</v>
      </c>
      <c r="G533" s="11" t="str">
        <f t="shared" si="26"/>
        <v>05・2FB-1</v>
      </c>
      <c r="H533" s="3"/>
    </row>
    <row r="534" spans="1:8" ht="15" customHeight="1" x14ac:dyDescent="0.2">
      <c r="A534" s="14" t="s">
        <v>853</v>
      </c>
      <c r="B534" s="10" t="str">
        <f>IFERROR(
    INDEX([1]FSHIP!B:B,MATCH(A534,[1]FSHIP!A:A,0)),
    IFERROR(
        INDEX([1]釣具商品ship!B:B,MATCH(A534,[1]釣具商品ship!A:A,0)),
        IFERROR(
            INDEX([1]玩具商品ship!B:B,MATCH(A534,[1]玩具商品ship!A:A,0)),
            IFERROR(
                INDEX([1]OEMship!B:B,MATCH(A534,[1]OEMship!A:A,0)),
                IFERROR(
                    INDEX([1]NV6ship!B:B,MATCH(A534,[1]NV6ship!A:A,0)),
                    IFERROR(
                        INDEX([1]NVship!B:B,MATCH(A534,[1]NVship!A:A,0)),
                        IFERROR(
                            INDEX([1]海ship!B:B,MATCH(A534,[1]海ship!A:A,0)),
                            IFERROR(
                                INDEX([1]ｾﾚship!B:B,MATCH(A534,[1]ｾﾚship!A:A,0)),
                                IFERROR(
                                    INDEX([1]ｾﾚﾓﾆｰ商品ship!B:B,MATCH(A534,[1]ｾﾚﾓﾆｰ商品ship!A:A,0)),
                                    INDEX([2]NV!D:D,MATCH(A534,[2]NV!C:C,0))
                                )
                            )
                        )
                    )
                )
            )
        )
    )
)</f>
        <v>ﾙﾐｶ･ﾌﾙｰﾙ【バラ】12本　ﾚｲﾝﾎﾞｰｶﾗｰ</v>
      </c>
      <c r="C534" s="16" t="s">
        <v>848</v>
      </c>
      <c r="D534" s="4" t="str">
        <f t="shared" si="24"/>
        <v>ﾙﾐｶ･ﾌﾙｰﾙ【バラ】12本　ﾚｲﾝﾎﾞｰｶﾗｰ ｜ 2F【05】 ｜ B-1</v>
      </c>
      <c r="E534" s="11" t="str">
        <f t="shared" si="25"/>
        <v>2F</v>
      </c>
      <c r="F534" s="12" t="s">
        <v>803</v>
      </c>
      <c r="G534" s="11" t="str">
        <f t="shared" si="26"/>
        <v>05・2FB-1</v>
      </c>
      <c r="H534" s="3"/>
    </row>
    <row r="535" spans="1:8" ht="15" customHeight="1" x14ac:dyDescent="0.2">
      <c r="A535" s="14" t="s">
        <v>865</v>
      </c>
      <c r="B535" s="10" t="str">
        <f>IFERROR(
    INDEX([1]FSHIP!B:B,MATCH(A535,[1]FSHIP!A:A,0)),
    IFERROR(
        INDEX([1]釣具商品ship!B:B,MATCH(A535,[1]釣具商品ship!A:A,0)),
        IFERROR(
            INDEX([1]玩具商品ship!B:B,MATCH(A535,[1]玩具商品ship!A:A,0)),
            IFERROR(
                INDEX([1]OEMship!B:B,MATCH(A535,[1]OEMship!A:A,0)),
                IFERROR(
                    INDEX([1]NV6ship!B:B,MATCH(A535,[1]NV6ship!A:A,0)),
                    IFERROR(
                        INDEX([1]NVship!B:B,MATCH(A535,[1]NVship!A:A,0)),
                        IFERROR(
                            INDEX([1]海ship!B:B,MATCH(A535,[1]海ship!A:A,0)),
                            IFERROR(
                                INDEX([1]ｾﾚship!B:B,MATCH(A535,[1]ｾﾚship!A:A,0)),
                                IFERROR(
                                    INDEX([1]ｾﾚﾓﾆｰ商品ship!B:B,MATCH(A535,[1]ｾﾚﾓﾆｰ商品ship!A:A,0)),
                                    INDEX([2]NV!D:D,MATCH(A535,[2]NV!C:C,0))
                                )
                            )
                        )
                    )
                )
            )
        )
    )
)</f>
        <v>ﾙﾐｶ･ﾌﾙｰﾙ　ばらﾐﾆ</v>
      </c>
      <c r="C535" s="16" t="s">
        <v>848</v>
      </c>
      <c r="D535" s="4" t="str">
        <f t="shared" si="24"/>
        <v>ﾙﾐｶ･ﾌﾙｰﾙ　ばらﾐﾆ ｜ 2F【05】 ｜ B-1</v>
      </c>
      <c r="E535" s="11" t="str">
        <f t="shared" si="25"/>
        <v>2F</v>
      </c>
      <c r="F535" s="12" t="s">
        <v>803</v>
      </c>
      <c r="G535" s="11" t="str">
        <f t="shared" si="26"/>
        <v>05・2FB-1</v>
      </c>
      <c r="H535" s="3"/>
    </row>
    <row r="536" spans="1:8" ht="15" customHeight="1" x14ac:dyDescent="0.2">
      <c r="A536" s="14" t="s">
        <v>864</v>
      </c>
      <c r="B536" s="10" t="str">
        <f>IFERROR(
    INDEX([1]FSHIP!B:B,MATCH(A536,[1]FSHIP!A:A,0)),
    IFERROR(
        INDEX([1]釣具商品ship!B:B,MATCH(A536,[1]釣具商品ship!A:A,0)),
        IFERROR(
            INDEX([1]玩具商品ship!B:B,MATCH(A536,[1]玩具商品ship!A:A,0)),
            IFERROR(
                INDEX([1]OEMship!B:B,MATCH(A536,[1]OEMship!A:A,0)),
                IFERROR(
                    INDEX([1]NV6ship!B:B,MATCH(A536,[1]NV6ship!A:A,0)),
                    IFERROR(
                        INDEX([1]NVship!B:B,MATCH(A536,[1]NVship!A:A,0)),
                        IFERROR(
                            INDEX([1]海ship!B:B,MATCH(A536,[1]海ship!A:A,0)),
                            IFERROR(
                                INDEX([1]ｾﾚship!B:B,MATCH(A536,[1]ｾﾚship!A:A,0)),
                                IFERROR(
                                    INDEX([1]ｾﾚﾓﾆｰ商品ship!B:B,MATCH(A536,[1]ｾﾚﾓﾆｰ商品ship!A:A,0)),
                                    INDEX([2]NV!D:D,MATCH(A536,[2]NV!C:C,0))
                                )
                            )
                        )
                    )
                )
            )
        )
    )
)</f>
        <v>ﾙﾐｶ･ﾌﾙｰﾙ　ばらﾐﾆ　ｲｴﾛｰ(本体色ｲｴﾛｰ)</v>
      </c>
      <c r="C536" s="16" t="s">
        <v>848</v>
      </c>
      <c r="D536" s="4" t="str">
        <f t="shared" si="24"/>
        <v>ﾙﾐｶ･ﾌﾙｰﾙ　ばらﾐﾆ　ｲｴﾛｰ(本体色ｲｴﾛｰ) ｜ 2F【05】 ｜ B-1</v>
      </c>
      <c r="E536" s="11" t="str">
        <f t="shared" si="25"/>
        <v>2F</v>
      </c>
      <c r="F536" s="12" t="s">
        <v>803</v>
      </c>
      <c r="G536" s="11" t="str">
        <f t="shared" si="26"/>
        <v>05・2FB-1</v>
      </c>
      <c r="H536" s="3"/>
    </row>
    <row r="537" spans="1:8" ht="15" customHeight="1" x14ac:dyDescent="0.2">
      <c r="A537" s="14" t="s">
        <v>867</v>
      </c>
      <c r="B537" s="10" t="str">
        <f>IFERROR(
    INDEX([1]FSHIP!B:B,MATCH(A537,[1]FSHIP!A:A,0)),
    IFERROR(
        INDEX([1]釣具商品ship!B:B,MATCH(A537,[1]釣具商品ship!A:A,0)),
        IFERROR(
            INDEX([1]玩具商品ship!B:B,MATCH(A537,[1]玩具商品ship!A:A,0)),
            IFERROR(
                INDEX([1]OEMship!B:B,MATCH(A537,[1]OEMship!A:A,0)),
                IFERROR(
                    INDEX([1]NV6ship!B:B,MATCH(A537,[1]NV6ship!A:A,0)),
                    IFERROR(
                        INDEX([1]NVship!B:B,MATCH(A537,[1]NVship!A:A,0)),
                        IFERROR(
                            INDEX([1]海ship!B:B,MATCH(A537,[1]海ship!A:A,0)),
                            IFERROR(
                                INDEX([1]ｾﾚship!B:B,MATCH(A537,[1]ｾﾚship!A:A,0)),
                                IFERROR(
                                    INDEX([1]ｾﾚﾓﾆｰ商品ship!B:B,MATCH(A537,[1]ｾﾚﾓﾆｰ商品ship!A:A,0)),
                                    INDEX([2]NV!D:D,MATCH(A537,[2]NV!C:C,0))
                                )
                            )
                        )
                    )
                )
            )
        )
    )
)</f>
        <v>ﾙﾐｶ･ﾌﾙｰﾙ　ばらﾐﾆ　ｸﾞﾘｰﾝ(本体色ﾚﾓﾝ)</v>
      </c>
      <c r="C537" s="16" t="s">
        <v>848</v>
      </c>
      <c r="D537" s="4" t="str">
        <f t="shared" si="24"/>
        <v>ﾙﾐｶ･ﾌﾙｰﾙ　ばらﾐﾆ　ｸﾞﾘｰﾝ(本体色ﾚﾓﾝ) ｜ 2F【05】 ｜ B-1</v>
      </c>
      <c r="E537" s="11" t="str">
        <f t="shared" si="25"/>
        <v>2F</v>
      </c>
      <c r="F537" s="12" t="s">
        <v>803</v>
      </c>
      <c r="G537" s="11" t="str">
        <f t="shared" si="26"/>
        <v>05・2FB-1</v>
      </c>
      <c r="H537" s="3"/>
    </row>
    <row r="538" spans="1:8" ht="15" customHeight="1" x14ac:dyDescent="0.2">
      <c r="A538" s="14" t="s">
        <v>866</v>
      </c>
      <c r="B538" s="10" t="str">
        <f>IFERROR(
    INDEX([1]FSHIP!B:B,MATCH(A538,[1]FSHIP!A:A,0)),
    IFERROR(
        INDEX([1]釣具商品ship!B:B,MATCH(A538,[1]釣具商品ship!A:A,0)),
        IFERROR(
            INDEX([1]玩具商品ship!B:B,MATCH(A538,[1]玩具商品ship!A:A,0)),
            IFERROR(
                INDEX([1]OEMship!B:B,MATCH(A538,[1]OEMship!A:A,0)),
                IFERROR(
                    INDEX([1]NV6ship!B:B,MATCH(A538,[1]NV6ship!A:A,0)),
                    IFERROR(
                        INDEX([1]NVship!B:B,MATCH(A538,[1]NVship!A:A,0)),
                        IFERROR(
                            INDEX([1]海ship!B:B,MATCH(A538,[1]海ship!A:A,0)),
                            IFERROR(
                                INDEX([1]ｾﾚship!B:B,MATCH(A538,[1]ｾﾚship!A:A,0)),
                                IFERROR(
                                    INDEX([1]ｾﾚﾓﾆｰ商品ship!B:B,MATCH(A538,[1]ｾﾚﾓﾆｰ商品ship!A:A,0)),
                                    INDEX([2]NV!D:D,MATCH(A538,[2]NV!C:C,0))
                                )
                            )
                        )
                    )
                )
            )
        )
    )
)</f>
        <v>ﾙﾐｶ･ﾌﾙｰﾙ　ばらﾐﾆ ﾊﾞｲｵﾚｯﾄ(本体色ﾛｰｽﾞ)</v>
      </c>
      <c r="C538" s="16" t="s">
        <v>848</v>
      </c>
      <c r="D538" s="4" t="str">
        <f t="shared" si="24"/>
        <v>ﾙﾐｶ･ﾌﾙｰﾙ　ばらﾐﾆ ﾊﾞｲｵﾚｯﾄ(本体色ﾛｰｽﾞ) ｜ 2F【05】 ｜ B-1</v>
      </c>
      <c r="E538" s="11" t="str">
        <f t="shared" si="25"/>
        <v>2F</v>
      </c>
      <c r="F538" s="12" t="s">
        <v>803</v>
      </c>
      <c r="G538" s="11" t="str">
        <f t="shared" si="26"/>
        <v>05・2FB-1</v>
      </c>
      <c r="H538" s="3"/>
    </row>
    <row r="539" spans="1:8" ht="15" customHeight="1" x14ac:dyDescent="0.2">
      <c r="A539" s="14" t="s">
        <v>869</v>
      </c>
      <c r="B539" s="10" t="str">
        <f>IFERROR(
    INDEX([1]FSHIP!B:B,MATCH(A539,[1]FSHIP!A:A,0)),
    IFERROR(
        INDEX([1]釣具商品ship!B:B,MATCH(A539,[1]釣具商品ship!A:A,0)),
        IFERROR(
            INDEX([1]玩具商品ship!B:B,MATCH(A539,[1]玩具商品ship!A:A,0)),
            IFERROR(
                INDEX([1]OEMship!B:B,MATCH(A539,[1]OEMship!A:A,0)),
                IFERROR(
                    INDEX([1]NV6ship!B:B,MATCH(A539,[1]NV6ship!A:A,0)),
                    IFERROR(
                        INDEX([1]NVship!B:B,MATCH(A539,[1]NVship!A:A,0)),
                        IFERROR(
                            INDEX([1]海ship!B:B,MATCH(A539,[1]海ship!A:A,0)),
                            IFERROR(
                                INDEX([1]ｾﾚship!B:B,MATCH(A539,[1]ｾﾚship!A:A,0)),
                                IFERROR(
                                    INDEX([1]ｾﾚﾓﾆｰ商品ship!B:B,MATCH(A539,[1]ｾﾚﾓﾆｰ商品ship!A:A,0)),
                                    INDEX([2]NV!D:D,MATCH(A539,[2]NV!C:C,0))
                                )
                            )
                        )
                    )
                )
            )
        )
    )
)</f>
        <v>ﾙﾐｶ･ﾌﾙｰﾙ　ばらﾐﾆ　ﾋﾟﾝｸ(本体色ﾚｯﾄﾞ)</v>
      </c>
      <c r="C539" s="16" t="s">
        <v>848</v>
      </c>
      <c r="D539" s="4" t="str">
        <f t="shared" si="24"/>
        <v>ﾙﾐｶ･ﾌﾙｰﾙ　ばらﾐﾆ　ﾋﾟﾝｸ(本体色ﾚｯﾄﾞ) ｜ 2F【05】 ｜ B-1</v>
      </c>
      <c r="E539" s="11" t="str">
        <f t="shared" si="25"/>
        <v>2F</v>
      </c>
      <c r="F539" s="12" t="s">
        <v>803</v>
      </c>
      <c r="G539" s="11" t="str">
        <f t="shared" si="26"/>
        <v>05・2FB-1</v>
      </c>
      <c r="H539" s="3"/>
    </row>
    <row r="540" spans="1:8" ht="15" customHeight="1" x14ac:dyDescent="0.2">
      <c r="A540" s="14" t="s">
        <v>825</v>
      </c>
      <c r="B540" s="10" t="str">
        <f>IFERROR(
    INDEX([1]FSHIP!B:B,MATCH(A540,[1]FSHIP!A:A,0)),
    IFERROR(
        INDEX([1]釣具商品ship!B:B,MATCH(A540,[1]釣具商品ship!A:A,0)),
        IFERROR(
            INDEX([1]玩具商品ship!B:B,MATCH(A540,[1]玩具商品ship!A:A,0)),
            IFERROR(
                INDEX([1]OEMship!B:B,MATCH(A540,[1]OEMship!A:A,0)),
                IFERROR(
                    INDEX([1]NV6ship!B:B,MATCH(A540,[1]NV6ship!A:A,0)),
                    IFERROR(
                        INDEX([1]NVship!B:B,MATCH(A540,[1]NVship!A:A,0)),
                        IFERROR(
                            INDEX([1]海ship!B:B,MATCH(A540,[1]海ship!A:A,0)),
                            IFERROR(
                                INDEX([1]ｾﾚship!B:B,MATCH(A540,[1]ｾﾚship!A:A,0)),
                                IFERROR(
                                    INDEX([1]ｾﾚﾓﾆｰ商品ship!B:B,MATCH(A540,[1]ｾﾚﾓﾆｰ商品ship!A:A,0)),
                                    INDEX([2]NV!D:D,MATCH(A540,[2]NV!C:C,0))
                                )
                            )
                        )
                    )
                )
            )
        )
    )
)</f>
        <v>ﾙﾐｶ･ﾌﾙｰﾙ【ﾎﾟｯﾌﾟｽﾀｰ】50枚</v>
      </c>
      <c r="C540" s="16" t="s">
        <v>802</v>
      </c>
      <c r="D540" s="4" t="str">
        <f t="shared" si="24"/>
        <v>ﾙﾐｶ･ﾌﾙｰﾙ【ﾎﾟｯﾌﾟｽﾀｰ】50枚 ｜ 2F【05】 ｜ A-1</v>
      </c>
      <c r="E540" s="11" t="str">
        <f t="shared" si="25"/>
        <v>2F</v>
      </c>
      <c r="F540" s="12" t="s">
        <v>803</v>
      </c>
      <c r="G540" s="11" t="str">
        <f t="shared" si="26"/>
        <v>05・2FA-1</v>
      </c>
      <c r="H540" s="3"/>
    </row>
    <row r="541" spans="1:8" ht="15" customHeight="1" x14ac:dyDescent="0.2">
      <c r="A541" s="14" t="s">
        <v>824</v>
      </c>
      <c r="B541" s="10" t="str">
        <f>IFERROR(
    INDEX([1]FSHIP!B:B,MATCH(A541,[1]FSHIP!A:A,0)),
    IFERROR(
        INDEX([1]釣具商品ship!B:B,MATCH(A541,[1]釣具商品ship!A:A,0)),
        IFERROR(
            INDEX([1]玩具商品ship!B:B,MATCH(A541,[1]玩具商品ship!A:A,0)),
            IFERROR(
                INDEX([1]OEMship!B:B,MATCH(A541,[1]OEMship!A:A,0)),
                IFERROR(
                    INDEX([1]NV6ship!B:B,MATCH(A541,[1]NV6ship!A:A,0)),
                    IFERROR(
                        INDEX([1]NVship!B:B,MATCH(A541,[1]NVship!A:A,0)),
                        IFERROR(
                            INDEX([1]海ship!B:B,MATCH(A541,[1]海ship!A:A,0)),
                            IFERROR(
                                INDEX([1]ｾﾚship!B:B,MATCH(A541,[1]ｾﾚship!A:A,0)),
                                IFERROR(
                                    INDEX([1]ｾﾚﾓﾆｰ商品ship!B:B,MATCH(A541,[1]ｾﾚﾓﾆｰ商品ship!A:A,0)),
                                    INDEX([2]NV!D:D,MATCH(A541,[2]NV!C:C,0))
                                )
                            )
                        )
                    )
                )
            )
        )
    )
)</f>
        <v>ﾙﾐｶ･ﾌﾙｰﾙ【ﾎﾟｯﾌﾟｽﾀｰ】50枚 ｲｴﾛｰ</v>
      </c>
      <c r="C541" s="16" t="s">
        <v>802</v>
      </c>
      <c r="D541" s="4" t="str">
        <f t="shared" si="24"/>
        <v>ﾙﾐｶ･ﾌﾙｰﾙ【ﾎﾟｯﾌﾟｽﾀｰ】50枚 ｲｴﾛｰ ｜ 2F【05】 ｜ A-1</v>
      </c>
      <c r="E541" s="11" t="str">
        <f t="shared" si="25"/>
        <v>2F</v>
      </c>
      <c r="F541" s="12" t="s">
        <v>803</v>
      </c>
      <c r="G541" s="11" t="str">
        <f t="shared" si="26"/>
        <v>05・2FA-1</v>
      </c>
      <c r="H541" s="3"/>
    </row>
    <row r="542" spans="1:8" ht="15" customHeight="1" x14ac:dyDescent="0.2">
      <c r="A542" s="14" t="s">
        <v>826</v>
      </c>
      <c r="B542" s="10" t="str">
        <f>IFERROR(
    INDEX([1]FSHIP!B:B,MATCH(A542,[1]FSHIP!A:A,0)),
    IFERROR(
        INDEX([1]釣具商品ship!B:B,MATCH(A542,[1]釣具商品ship!A:A,0)),
        IFERROR(
            INDEX([1]玩具商品ship!B:B,MATCH(A542,[1]玩具商品ship!A:A,0)),
            IFERROR(
                INDEX([1]OEMship!B:B,MATCH(A542,[1]OEMship!A:A,0)),
                IFERROR(
                    INDEX([1]NV6ship!B:B,MATCH(A542,[1]NV6ship!A:A,0)),
                    IFERROR(
                        INDEX([1]NVship!B:B,MATCH(A542,[1]NVship!A:A,0)),
                        IFERROR(
                            INDEX([1]海ship!B:B,MATCH(A542,[1]海ship!A:A,0)),
                            IFERROR(
                                INDEX([1]ｾﾚship!B:B,MATCH(A542,[1]ｾﾚship!A:A,0)),
                                IFERROR(
                                    INDEX([1]ｾﾚﾓﾆｰ商品ship!B:B,MATCH(A542,[1]ｾﾚﾓﾆｰ商品ship!A:A,0)),
                                    INDEX([2]NV!D:D,MATCH(A542,[2]NV!C:C,0))
                                )
                            )
                        )
                    )
                )
            )
        )
    )
)</f>
        <v>ﾙﾐｶ･ﾌﾙｰﾙ【ﾎﾟｯﾌﾟｽﾀｰ】50枚 ｸﾞﾘｰﾝ</v>
      </c>
      <c r="C542" s="16" t="s">
        <v>802</v>
      </c>
      <c r="D542" s="4" t="str">
        <f t="shared" si="24"/>
        <v>ﾙﾐｶ･ﾌﾙｰﾙ【ﾎﾟｯﾌﾟｽﾀｰ】50枚 ｸﾞﾘｰﾝ ｜ 2F【05】 ｜ A-1</v>
      </c>
      <c r="E542" s="11" t="str">
        <f t="shared" si="25"/>
        <v>2F</v>
      </c>
      <c r="F542" s="12" t="s">
        <v>803</v>
      </c>
      <c r="G542" s="11" t="str">
        <f t="shared" si="26"/>
        <v>05・2FA-1</v>
      </c>
      <c r="H542" s="3"/>
    </row>
    <row r="543" spans="1:8" ht="15" customHeight="1" x14ac:dyDescent="0.2">
      <c r="A543" s="14" t="s">
        <v>827</v>
      </c>
      <c r="B543" s="10" t="str">
        <f>IFERROR(
    INDEX([1]FSHIP!B:B,MATCH(A543,[1]FSHIP!A:A,0)),
    IFERROR(
        INDEX([1]釣具商品ship!B:B,MATCH(A543,[1]釣具商品ship!A:A,0)),
        IFERROR(
            INDEX([1]玩具商品ship!B:B,MATCH(A543,[1]玩具商品ship!A:A,0)),
            IFERROR(
                INDEX([1]OEMship!B:B,MATCH(A543,[1]OEMship!A:A,0)),
                IFERROR(
                    INDEX([1]NV6ship!B:B,MATCH(A543,[1]NV6ship!A:A,0)),
                    IFERROR(
                        INDEX([1]NVship!B:B,MATCH(A543,[1]NVship!A:A,0)),
                        IFERROR(
                            INDEX([1]海ship!B:B,MATCH(A543,[1]海ship!A:A,0)),
                            IFERROR(
                                INDEX([1]ｾﾚship!B:B,MATCH(A543,[1]ｾﾚship!A:A,0)),
                                IFERROR(
                                    INDEX([1]ｾﾚﾓﾆｰ商品ship!B:B,MATCH(A543,[1]ｾﾚﾓﾆｰ商品ship!A:A,0)),
                                    INDEX([2]NV!D:D,MATCH(A543,[2]NV!C:C,0))
                                )
                            )
                        )
                    )
                )
            )
        )
    )
)</f>
        <v>ﾙﾐｶ･ﾌﾙｰﾙ【ﾎﾟｯﾌﾟｽﾀｰ】50枚 ﾊﾞｲｵﾚｯﾄ</v>
      </c>
      <c r="C543" s="16" t="s">
        <v>802</v>
      </c>
      <c r="D543" s="4" t="str">
        <f t="shared" si="24"/>
        <v>ﾙﾐｶ･ﾌﾙｰﾙ【ﾎﾟｯﾌﾟｽﾀｰ】50枚 ﾊﾞｲｵﾚｯﾄ ｜ 2F【05】 ｜ A-1</v>
      </c>
      <c r="E543" s="11" t="str">
        <f t="shared" si="25"/>
        <v>2F</v>
      </c>
      <c r="F543" s="12" t="s">
        <v>803</v>
      </c>
      <c r="G543" s="11" t="str">
        <f t="shared" si="26"/>
        <v>05・2FA-1</v>
      </c>
      <c r="H543" s="3"/>
    </row>
    <row r="544" spans="1:8" ht="15" customHeight="1" x14ac:dyDescent="0.2">
      <c r="A544" s="14" t="s">
        <v>829</v>
      </c>
      <c r="B544" s="10" t="str">
        <f>IFERROR(
    INDEX([1]FSHIP!B:B,MATCH(A544,[1]FSHIP!A:A,0)),
    IFERROR(
        INDEX([1]釣具商品ship!B:B,MATCH(A544,[1]釣具商品ship!A:A,0)),
        IFERROR(
            INDEX([1]玩具商品ship!B:B,MATCH(A544,[1]玩具商品ship!A:A,0)),
            IFERROR(
                INDEX([1]OEMship!B:B,MATCH(A544,[1]OEMship!A:A,0)),
                IFERROR(
                    INDEX([1]NV6ship!B:B,MATCH(A544,[1]NV6ship!A:A,0)),
                    IFERROR(
                        INDEX([1]NVship!B:B,MATCH(A544,[1]NVship!A:A,0)),
                        IFERROR(
                            INDEX([1]海ship!B:B,MATCH(A544,[1]海ship!A:A,0)),
                            IFERROR(
                                INDEX([1]ｾﾚship!B:B,MATCH(A544,[1]ｾﾚship!A:A,0)),
                                IFERROR(
                                    INDEX([1]ｾﾚﾓﾆｰ商品ship!B:B,MATCH(A544,[1]ｾﾚﾓﾆｰ商品ship!A:A,0)),
                                    INDEX([2]NV!D:D,MATCH(A544,[2]NV!C:C,0))
                                )
                            )
                        )
                    )
                )
            )
        )
    )
)</f>
        <v>ﾙﾐｶ･ﾌﾙｰﾙ【ﾎﾟｯﾌﾟｽﾀｰ】50枚 ﾋﾟﾝｸ</v>
      </c>
      <c r="C544" s="16" t="s">
        <v>802</v>
      </c>
      <c r="D544" s="4" t="str">
        <f t="shared" si="24"/>
        <v>ﾙﾐｶ･ﾌﾙｰﾙ【ﾎﾟｯﾌﾟｽﾀｰ】50枚 ﾋﾟﾝｸ ｜ 2F【05】 ｜ A-1</v>
      </c>
      <c r="E544" s="11" t="str">
        <f t="shared" si="25"/>
        <v>2F</v>
      </c>
      <c r="F544" s="12" t="s">
        <v>803</v>
      </c>
      <c r="G544" s="11" t="str">
        <f t="shared" si="26"/>
        <v>05・2FA-1</v>
      </c>
      <c r="H544" s="3"/>
    </row>
    <row r="545" spans="1:8" ht="15" customHeight="1" x14ac:dyDescent="0.2">
      <c r="A545" s="14" t="s">
        <v>868</v>
      </c>
      <c r="B545" s="10" t="str">
        <f>IFERROR(
    INDEX([1]FSHIP!B:B,MATCH(A545,[1]FSHIP!A:A,0)),
    IFERROR(
        INDEX([1]釣具商品ship!B:B,MATCH(A545,[1]釣具商品ship!A:A,0)),
        IFERROR(
            INDEX([1]玩具商品ship!B:B,MATCH(A545,[1]玩具商品ship!A:A,0)),
            IFERROR(
                INDEX([1]OEMship!B:B,MATCH(A545,[1]OEMship!A:A,0)),
                IFERROR(
                    INDEX([1]NV6ship!B:B,MATCH(A545,[1]NV6ship!A:A,0)),
                    IFERROR(
                        INDEX([1]NVship!B:B,MATCH(A545,[1]NVship!A:A,0)),
                        IFERROR(
                            INDEX([1]海ship!B:B,MATCH(A545,[1]海ship!A:A,0)),
                            IFERROR(
                                INDEX([1]ｾﾚship!B:B,MATCH(A545,[1]ｾﾚship!A:A,0)),
                                IFERROR(
                                    INDEX([1]ｾﾚﾓﾆｰ商品ship!B:B,MATCH(A545,[1]ｾﾚﾓﾆｰ商品ship!A:A,0)),
                                    INDEX([2]NV!D:D,MATCH(A545,[2]NV!C:C,0))
                                )
                            )
                        )
                    )
                )
            )
        )
    )
)</f>
        <v>ﾙﾐｶ･ﾌﾙｰﾙ【ﾐﾚｰﾇ】6個</v>
      </c>
      <c r="C545" s="16" t="s">
        <v>848</v>
      </c>
      <c r="D545" s="4" t="str">
        <f t="shared" si="24"/>
        <v>ﾙﾐｶ･ﾌﾙｰﾙ【ﾐﾚｰﾇ】6個 ｜ 2F【05】 ｜ B-1</v>
      </c>
      <c r="E545" s="11" t="str">
        <f t="shared" si="25"/>
        <v>2F</v>
      </c>
      <c r="F545" s="12" t="s">
        <v>803</v>
      </c>
      <c r="G545" s="11" t="str">
        <f t="shared" si="26"/>
        <v>05・2FB-1</v>
      </c>
      <c r="H545" s="3"/>
    </row>
    <row r="546" spans="1:8" ht="15" customHeight="1" x14ac:dyDescent="0.2">
      <c r="A546" s="14" t="s">
        <v>870</v>
      </c>
      <c r="B546" s="10" t="str">
        <f>IFERROR(
    INDEX([1]FSHIP!B:B,MATCH(A546,[1]FSHIP!A:A,0)),
    IFERROR(
        INDEX([1]釣具商品ship!B:B,MATCH(A546,[1]釣具商品ship!A:A,0)),
        IFERROR(
            INDEX([1]玩具商品ship!B:B,MATCH(A546,[1]玩具商品ship!A:A,0)),
            IFERROR(
                INDEX([1]OEMship!B:B,MATCH(A546,[1]OEMship!A:A,0)),
                IFERROR(
                    INDEX([1]NV6ship!B:B,MATCH(A546,[1]NV6ship!A:A,0)),
                    IFERROR(
                        INDEX([1]NVship!B:B,MATCH(A546,[1]NVship!A:A,0)),
                        IFERROR(
                            INDEX([1]海ship!B:B,MATCH(A546,[1]海ship!A:A,0)),
                            IFERROR(
                                INDEX([1]ｾﾚship!B:B,MATCH(A546,[1]ｾﾚship!A:A,0)),
                                IFERROR(
                                    INDEX([1]ｾﾚﾓﾆｰ商品ship!B:B,MATCH(A546,[1]ｾﾚﾓﾆｰ商品ship!A:A,0)),
                                    INDEX([2]NV!D:D,MATCH(A546,[2]NV!C:C,0))
                                )
                            )
                        )
                    )
                )
            )
        )
    )
)</f>
        <v>ﾙﾐｶ･ﾌﾙｰﾙ【ﾐﾚｰﾇ】6個　ｲｴﾛｰ</v>
      </c>
      <c r="C546" s="16" t="s">
        <v>848</v>
      </c>
      <c r="D546" s="4" t="str">
        <f t="shared" si="24"/>
        <v>ﾙﾐｶ･ﾌﾙｰﾙ【ﾐﾚｰﾇ】6個　ｲｴﾛｰ ｜ 2F【05】 ｜ B-1</v>
      </c>
      <c r="E546" s="11" t="str">
        <f t="shared" si="25"/>
        <v>2F</v>
      </c>
      <c r="F546" s="12" t="s">
        <v>803</v>
      </c>
      <c r="G546" s="11" t="str">
        <f t="shared" si="26"/>
        <v>05・2FB-1</v>
      </c>
      <c r="H546" s="3"/>
    </row>
    <row r="547" spans="1:8" ht="15" customHeight="1" x14ac:dyDescent="0.2">
      <c r="A547" s="14" t="s">
        <v>871</v>
      </c>
      <c r="B547" s="10" t="str">
        <f>IFERROR(
    INDEX([1]FSHIP!B:B,MATCH(A547,[1]FSHIP!A:A,0)),
    IFERROR(
        INDEX([1]釣具商品ship!B:B,MATCH(A547,[1]釣具商品ship!A:A,0)),
        IFERROR(
            INDEX([1]玩具商品ship!B:B,MATCH(A547,[1]玩具商品ship!A:A,0)),
            IFERROR(
                INDEX([1]OEMship!B:B,MATCH(A547,[1]OEMship!A:A,0)),
                IFERROR(
                    INDEX([1]NV6ship!B:B,MATCH(A547,[1]NV6ship!A:A,0)),
                    IFERROR(
                        INDEX([1]NVship!B:B,MATCH(A547,[1]NVship!A:A,0)),
                        IFERROR(
                            INDEX([1]海ship!B:B,MATCH(A547,[1]海ship!A:A,0)),
                            IFERROR(
                                INDEX([1]ｾﾚship!B:B,MATCH(A547,[1]ｾﾚship!A:A,0)),
                                IFERROR(
                                    INDEX([1]ｾﾚﾓﾆｰ商品ship!B:B,MATCH(A547,[1]ｾﾚﾓﾆｰ商品ship!A:A,0)),
                                    INDEX([2]NV!D:D,MATCH(A547,[2]NV!C:C,0))
                                )
                            )
                        )
                    )
                )
            )
        )
    )
)</f>
        <v>ﾙﾐｶ･ﾌﾙｰﾙ【ﾐﾚｰﾇ】6個　ｸﾞﾘｰﾝ</v>
      </c>
      <c r="C547" s="16" t="s">
        <v>848</v>
      </c>
      <c r="D547" s="4" t="str">
        <f t="shared" si="24"/>
        <v>ﾙﾐｶ･ﾌﾙｰﾙ【ﾐﾚｰﾇ】6個　ｸﾞﾘｰﾝ ｜ 2F【05】 ｜ B-1</v>
      </c>
      <c r="E547" s="11" t="str">
        <f t="shared" si="25"/>
        <v>2F</v>
      </c>
      <c r="F547" s="12" t="s">
        <v>803</v>
      </c>
      <c r="G547" s="11" t="str">
        <f t="shared" si="26"/>
        <v>05・2FB-1</v>
      </c>
      <c r="H547" s="3"/>
    </row>
    <row r="548" spans="1:8" ht="15" customHeight="1" x14ac:dyDescent="0.2">
      <c r="A548" s="14" t="s">
        <v>874</v>
      </c>
      <c r="B548" s="10" t="str">
        <f>IFERROR(
    INDEX([1]FSHIP!B:B,MATCH(A548,[1]FSHIP!A:A,0)),
    IFERROR(
        INDEX([1]釣具商品ship!B:B,MATCH(A548,[1]釣具商品ship!A:A,0)),
        IFERROR(
            INDEX([1]玩具商品ship!B:B,MATCH(A548,[1]玩具商品ship!A:A,0)),
            IFERROR(
                INDEX([1]OEMship!B:B,MATCH(A548,[1]OEMship!A:A,0)),
                IFERROR(
                    INDEX([1]NV6ship!B:B,MATCH(A548,[1]NV6ship!A:A,0)),
                    IFERROR(
                        INDEX([1]NVship!B:B,MATCH(A548,[1]NVship!A:A,0)),
                        IFERROR(
                            INDEX([1]海ship!B:B,MATCH(A548,[1]海ship!A:A,0)),
                            IFERROR(
                                INDEX([1]ｾﾚship!B:B,MATCH(A548,[1]ｾﾚship!A:A,0)),
                                IFERROR(
                                    INDEX([1]ｾﾚﾓﾆｰ商品ship!B:B,MATCH(A548,[1]ｾﾚﾓﾆｰ商品ship!A:A,0)),
                                    INDEX([2]NV!D:D,MATCH(A548,[2]NV!C:C,0))
                                )
                            )
                        )
                    )
                )
            )
        )
    )
)</f>
        <v>ﾙﾐｶ･ﾌﾙｰﾙ【ﾐﾚｰﾇ】6個　ﾊﾞｲｵﾚｯﾄ</v>
      </c>
      <c r="C548" s="16" t="s">
        <v>848</v>
      </c>
      <c r="D548" s="4" t="str">
        <f t="shared" si="24"/>
        <v>ﾙﾐｶ･ﾌﾙｰﾙ【ﾐﾚｰﾇ】6個　ﾊﾞｲｵﾚｯﾄ ｜ 2F【05】 ｜ B-1</v>
      </c>
      <c r="E548" s="11" t="str">
        <f t="shared" si="25"/>
        <v>2F</v>
      </c>
      <c r="F548" s="12" t="s">
        <v>803</v>
      </c>
      <c r="G548" s="11" t="str">
        <f t="shared" si="26"/>
        <v>05・2FB-1</v>
      </c>
      <c r="H548" s="3"/>
    </row>
    <row r="549" spans="1:8" ht="15" customHeight="1" x14ac:dyDescent="0.2">
      <c r="A549" s="14" t="s">
        <v>873</v>
      </c>
      <c r="B549" s="10" t="str">
        <f>IFERROR(
    INDEX([1]FSHIP!B:B,MATCH(A549,[1]FSHIP!A:A,0)),
    IFERROR(
        INDEX([1]釣具商品ship!B:B,MATCH(A549,[1]釣具商品ship!A:A,0)),
        IFERROR(
            INDEX([1]玩具商品ship!B:B,MATCH(A549,[1]玩具商品ship!A:A,0)),
            IFERROR(
                INDEX([1]OEMship!B:B,MATCH(A549,[1]OEMship!A:A,0)),
                IFERROR(
                    INDEX([1]NV6ship!B:B,MATCH(A549,[1]NV6ship!A:A,0)),
                    IFERROR(
                        INDEX([1]NVship!B:B,MATCH(A549,[1]NVship!A:A,0)),
                        IFERROR(
                            INDEX([1]海ship!B:B,MATCH(A549,[1]海ship!A:A,0)),
                            IFERROR(
                                INDEX([1]ｾﾚship!B:B,MATCH(A549,[1]ｾﾚship!A:A,0)),
                                IFERROR(
                                    INDEX([1]ｾﾚﾓﾆｰ商品ship!B:B,MATCH(A549,[1]ｾﾚﾓﾆｰ商品ship!A:A,0)),
                                    INDEX([2]NV!D:D,MATCH(A549,[2]NV!C:C,0))
                                )
                            )
                        )
                    )
                )
            )
        )
    )
)</f>
        <v>ﾙﾐｶ･ﾌﾙｰﾙ【ﾐﾚｰﾇ】6個　ﾗｲﾄﾋﾟﾝｸ</v>
      </c>
      <c r="C549" s="16" t="s">
        <v>848</v>
      </c>
      <c r="D549" s="4" t="str">
        <f t="shared" si="24"/>
        <v>ﾙﾐｶ･ﾌﾙｰﾙ【ﾐﾚｰﾇ】6個　ﾗｲﾄﾋﾟﾝｸ ｜ 2F【05】 ｜ B-1</v>
      </c>
      <c r="E549" s="11" t="str">
        <f t="shared" si="25"/>
        <v>2F</v>
      </c>
      <c r="F549" s="12" t="s">
        <v>803</v>
      </c>
      <c r="G549" s="11" t="str">
        <f t="shared" si="26"/>
        <v>05・2FB-1</v>
      </c>
      <c r="H549" s="3"/>
    </row>
    <row r="550" spans="1:8" ht="15" customHeight="1" x14ac:dyDescent="0.2">
      <c r="A550" s="14" t="s">
        <v>872</v>
      </c>
      <c r="B550" s="10" t="str">
        <f>IFERROR(
    INDEX([1]FSHIP!B:B,MATCH(A550,[1]FSHIP!A:A,0)),
    IFERROR(
        INDEX([1]釣具商品ship!B:B,MATCH(A550,[1]釣具商品ship!A:A,0)),
        IFERROR(
            INDEX([1]玩具商品ship!B:B,MATCH(A550,[1]玩具商品ship!A:A,0)),
            IFERROR(
                INDEX([1]OEMship!B:B,MATCH(A550,[1]OEMship!A:A,0)),
                IFERROR(
                    INDEX([1]NV6ship!B:B,MATCH(A550,[1]NV6ship!A:A,0)),
                    IFERROR(
                        INDEX([1]NVship!B:B,MATCH(A550,[1]NVship!A:A,0)),
                        IFERROR(
                            INDEX([1]海ship!B:B,MATCH(A550,[1]海ship!A:A,0)),
                            IFERROR(
                                INDEX([1]ｾﾚship!B:B,MATCH(A550,[1]ｾﾚship!A:A,0)),
                                IFERROR(
                                    INDEX([1]ｾﾚﾓﾆｰ商品ship!B:B,MATCH(A550,[1]ｾﾚﾓﾆｰ商品ship!A:A,0)),
                                    INDEX([2]NV!D:D,MATCH(A550,[2]NV!C:C,0))
                                )
                            )
                        )
                    )
                )
            )
        )
    )
)</f>
        <v>ﾙﾐｶ･ﾌﾙｰﾙ【ﾐﾚｰﾇ】6個　ﾚｲﾝﾎﾞｰｶﾗｰ</v>
      </c>
      <c r="C550" s="16" t="s">
        <v>848</v>
      </c>
      <c r="D550" s="4" t="str">
        <f t="shared" si="24"/>
        <v>ﾙﾐｶ･ﾌﾙｰﾙ【ﾐﾚｰﾇ】6個　ﾚｲﾝﾎﾞｰｶﾗｰ ｜ 2F【05】 ｜ B-1</v>
      </c>
      <c r="E550" s="11" t="str">
        <f t="shared" si="25"/>
        <v>2F</v>
      </c>
      <c r="F550" s="12" t="s">
        <v>803</v>
      </c>
      <c r="G550" s="11" t="str">
        <f t="shared" si="26"/>
        <v>05・2FB-1</v>
      </c>
      <c r="H550" s="3"/>
    </row>
    <row r="551" spans="1:8" ht="15" customHeight="1" x14ac:dyDescent="0.2">
      <c r="A551" s="14" t="s">
        <v>856</v>
      </c>
      <c r="B551" s="10" t="str">
        <f>IFERROR(
    INDEX([1]FSHIP!B:B,MATCH(A551,[1]FSHIP!A:A,0)),
    IFERROR(
        INDEX([1]釣具商品ship!B:B,MATCH(A551,[1]釣具商品ship!A:A,0)),
        IFERROR(
            INDEX([1]玩具商品ship!B:B,MATCH(A551,[1]玩具商品ship!A:A,0)),
            IFERROR(
                INDEX([1]OEMship!B:B,MATCH(A551,[1]OEMship!A:A,0)),
                IFERROR(
                    INDEX([1]NV6ship!B:B,MATCH(A551,[1]NV6ship!A:A,0)),
                    IFERROR(
                        INDEX([1]NVship!B:B,MATCH(A551,[1]NVship!A:A,0)),
                        IFERROR(
                            INDEX([1]海ship!B:B,MATCH(A551,[1]海ship!A:A,0)),
                            IFERROR(
                                INDEX([1]ｾﾚship!B:B,MATCH(A551,[1]ｾﾚship!A:A,0)),
                                IFERROR(
                                    INDEX([1]ｾﾚﾓﾆｰ商品ship!B:B,MATCH(A551,[1]ｾﾚﾓﾆｰ商品ship!A:A,0)),
                                    INDEX([2]NV!D:D,MATCH(A551,[2]NV!C:C,0))
                                )
                            )
                        )
                    )
                )
            )
        )
    )
)</f>
        <v>ﾙﾐｶ･ﾌﾙｰﾙ【花びら】100枚　ｲｴﾛｰ</v>
      </c>
      <c r="C551" s="16" t="s">
        <v>848</v>
      </c>
      <c r="D551" s="4" t="str">
        <f t="shared" si="24"/>
        <v>ﾙﾐｶ･ﾌﾙｰﾙ【花びら】100枚　ｲｴﾛｰ ｜ 2F【05】 ｜ B-1</v>
      </c>
      <c r="E551" s="11" t="str">
        <f t="shared" si="25"/>
        <v>2F</v>
      </c>
      <c r="F551" s="12" t="s">
        <v>803</v>
      </c>
      <c r="G551" s="11" t="str">
        <f t="shared" si="26"/>
        <v>05・2FB-1</v>
      </c>
      <c r="H551" s="3"/>
    </row>
    <row r="552" spans="1:8" ht="15" customHeight="1" x14ac:dyDescent="0.2">
      <c r="A552" s="14" t="s">
        <v>858</v>
      </c>
      <c r="B552" s="10" t="str">
        <f>IFERROR(
    INDEX([1]FSHIP!B:B,MATCH(A552,[1]FSHIP!A:A,0)),
    IFERROR(
        INDEX([1]釣具商品ship!B:B,MATCH(A552,[1]釣具商品ship!A:A,0)),
        IFERROR(
            INDEX([1]玩具商品ship!B:B,MATCH(A552,[1]玩具商品ship!A:A,0)),
            IFERROR(
                INDEX([1]OEMship!B:B,MATCH(A552,[1]OEMship!A:A,0)),
                IFERROR(
                    INDEX([1]NV6ship!B:B,MATCH(A552,[1]NV6ship!A:A,0)),
                    IFERROR(
                        INDEX([1]NVship!B:B,MATCH(A552,[1]NVship!A:A,0)),
                        IFERROR(
                            INDEX([1]海ship!B:B,MATCH(A552,[1]海ship!A:A,0)),
                            IFERROR(
                                INDEX([1]ｾﾚship!B:B,MATCH(A552,[1]ｾﾚship!A:A,0)),
                                IFERROR(
                                    INDEX([1]ｾﾚﾓﾆｰ商品ship!B:B,MATCH(A552,[1]ｾﾚﾓﾆｰ商品ship!A:A,0)),
                                    INDEX([2]NV!D:D,MATCH(A552,[2]NV!C:C,0))
                                )
                            )
                        )
                    )
                )
            )
        )
    )
)</f>
        <v>ﾙﾐｶ･ﾌﾙｰﾙ【花びら】100枚　ｸﾞﾘｰﾝ</v>
      </c>
      <c r="C552" s="16" t="s">
        <v>848</v>
      </c>
      <c r="D552" s="4" t="str">
        <f t="shared" si="24"/>
        <v>ﾙﾐｶ･ﾌﾙｰﾙ【花びら】100枚　ｸﾞﾘｰﾝ ｜ 2F【05】 ｜ B-1</v>
      </c>
      <c r="E552" s="11" t="str">
        <f t="shared" si="25"/>
        <v>2F</v>
      </c>
      <c r="F552" s="12" t="s">
        <v>803</v>
      </c>
      <c r="G552" s="11" t="str">
        <f t="shared" si="26"/>
        <v>05・2FB-1</v>
      </c>
      <c r="H552" s="3"/>
    </row>
    <row r="553" spans="1:8" ht="15" customHeight="1" x14ac:dyDescent="0.2">
      <c r="A553" s="14" t="s">
        <v>857</v>
      </c>
      <c r="B553" s="10" t="str">
        <f>IFERROR(
    INDEX([1]FSHIP!B:B,MATCH(A553,[1]FSHIP!A:A,0)),
    IFERROR(
        INDEX([1]釣具商品ship!B:B,MATCH(A553,[1]釣具商品ship!A:A,0)),
        IFERROR(
            INDEX([1]玩具商品ship!B:B,MATCH(A553,[1]玩具商品ship!A:A,0)),
            IFERROR(
                INDEX([1]OEMship!B:B,MATCH(A553,[1]OEMship!A:A,0)),
                IFERROR(
                    INDEX([1]NV6ship!B:B,MATCH(A553,[1]NV6ship!A:A,0)),
                    IFERROR(
                        INDEX([1]NVship!B:B,MATCH(A553,[1]NVship!A:A,0)),
                        IFERROR(
                            INDEX([1]海ship!B:B,MATCH(A553,[1]海ship!A:A,0)),
                            IFERROR(
                                INDEX([1]ｾﾚship!B:B,MATCH(A553,[1]ｾﾚship!A:A,0)),
                                IFERROR(
                                    INDEX([1]ｾﾚﾓﾆｰ商品ship!B:B,MATCH(A553,[1]ｾﾚﾓﾆｰ商品ship!A:A,0)),
                                    INDEX([2]NV!D:D,MATCH(A553,[2]NV!C:C,0))
                                )
                            )
                        )
                    )
                )
            )
        )
    )
)</f>
        <v>ﾙﾐｶ･ﾌﾙｰﾙ【花びら】100枚　ﾊﾞｲｵﾚｯﾄ</v>
      </c>
      <c r="C553" s="16" t="s">
        <v>848</v>
      </c>
      <c r="D553" s="4" t="str">
        <f t="shared" si="24"/>
        <v>ﾙﾐｶ･ﾌﾙｰﾙ【花びら】100枚　ﾊﾞｲｵﾚｯﾄ ｜ 2F【05】 ｜ B-1</v>
      </c>
      <c r="E553" s="11" t="str">
        <f t="shared" si="25"/>
        <v>2F</v>
      </c>
      <c r="F553" s="12" t="s">
        <v>803</v>
      </c>
      <c r="G553" s="11" t="str">
        <f t="shared" si="26"/>
        <v>05・2FB-1</v>
      </c>
      <c r="H553" s="3"/>
    </row>
    <row r="554" spans="1:8" ht="15" customHeight="1" x14ac:dyDescent="0.2">
      <c r="A554" s="14" t="s">
        <v>859</v>
      </c>
      <c r="B554" s="10" t="str">
        <f>IFERROR(
    INDEX([1]FSHIP!B:B,MATCH(A554,[1]FSHIP!A:A,0)),
    IFERROR(
        INDEX([1]釣具商品ship!B:B,MATCH(A554,[1]釣具商品ship!A:A,0)),
        IFERROR(
            INDEX([1]玩具商品ship!B:B,MATCH(A554,[1]玩具商品ship!A:A,0)),
            IFERROR(
                INDEX([1]OEMship!B:B,MATCH(A554,[1]OEMship!A:A,0)),
                IFERROR(
                    INDEX([1]NV6ship!B:B,MATCH(A554,[1]NV6ship!A:A,0)),
                    IFERROR(
                        INDEX([1]NVship!B:B,MATCH(A554,[1]NVship!A:A,0)),
                        IFERROR(
                            INDEX([1]海ship!B:B,MATCH(A554,[1]海ship!A:A,0)),
                            IFERROR(
                                INDEX([1]ｾﾚship!B:B,MATCH(A554,[1]ｾﾚship!A:A,0)),
                                IFERROR(
                                    INDEX([1]ｾﾚﾓﾆｰ商品ship!B:B,MATCH(A554,[1]ｾﾚﾓﾆｰ商品ship!A:A,0)),
                                    INDEX([2]NV!D:D,MATCH(A554,[2]NV!C:C,0))
                                )
                            )
                        )
                    )
                )
            )
        )
    )
)</f>
        <v>ﾙﾐｶ･ﾌﾙｰﾙ【花びら】100枚　ﾋﾟﾝｸ</v>
      </c>
      <c r="C554" s="16" t="s">
        <v>848</v>
      </c>
      <c r="D554" s="4" t="str">
        <f t="shared" si="24"/>
        <v>ﾙﾐｶ･ﾌﾙｰﾙ【花びら】100枚　ﾋﾟﾝｸ ｜ 2F【05】 ｜ B-1</v>
      </c>
      <c r="E554" s="11" t="str">
        <f t="shared" si="25"/>
        <v>2F</v>
      </c>
      <c r="F554" s="12" t="s">
        <v>803</v>
      </c>
      <c r="G554" s="11" t="str">
        <f t="shared" si="26"/>
        <v>05・2FB-1</v>
      </c>
      <c r="H554" s="3"/>
    </row>
    <row r="555" spans="1:8" ht="15" customHeight="1" x14ac:dyDescent="0.2">
      <c r="A555" s="14" t="s">
        <v>861</v>
      </c>
      <c r="B555" s="10" t="str">
        <f>IFERROR(
    INDEX([1]FSHIP!B:B,MATCH(A555,[1]FSHIP!A:A,0)),
    IFERROR(
        INDEX([1]釣具商品ship!B:B,MATCH(A555,[1]釣具商品ship!A:A,0)),
        IFERROR(
            INDEX([1]玩具商品ship!B:B,MATCH(A555,[1]玩具商品ship!A:A,0)),
            IFERROR(
                INDEX([1]OEMship!B:B,MATCH(A555,[1]OEMship!A:A,0)),
                IFERROR(
                    INDEX([1]NV6ship!B:B,MATCH(A555,[1]NV6ship!A:A,0)),
                    IFERROR(
                        INDEX([1]NVship!B:B,MATCH(A555,[1]NVship!A:A,0)),
                        IFERROR(
                            INDEX([1]海ship!B:B,MATCH(A555,[1]海ship!A:A,0)),
                            IFERROR(
                                INDEX([1]ｾﾚship!B:B,MATCH(A555,[1]ｾﾚship!A:A,0)),
                                IFERROR(
                                    INDEX([1]ｾﾚﾓﾆｰ商品ship!B:B,MATCH(A555,[1]ｾﾚﾓﾆｰ商品ship!A:A,0)),
                                    INDEX([2]NV!D:D,MATCH(A555,[2]NV!C:C,0))
                                )
                            )
                        )
                    )
                )
            )
        )
    )
)</f>
        <v>ﾙﾐｶ･ﾌﾙｰﾙ【花びら】SS添加高輝度 100枚</v>
      </c>
      <c r="C555" s="16" t="s">
        <v>848</v>
      </c>
      <c r="D555" s="4" t="str">
        <f t="shared" si="24"/>
        <v>ﾙﾐｶ･ﾌﾙｰﾙ【花びら】SS添加高輝度 100枚 ｜ 2F【05】 ｜ B-1</v>
      </c>
      <c r="E555" s="11" t="str">
        <f t="shared" si="25"/>
        <v>2F</v>
      </c>
      <c r="F555" s="12" t="s">
        <v>803</v>
      </c>
      <c r="G555" s="11" t="str">
        <f t="shared" si="26"/>
        <v>05・2FB-1</v>
      </c>
      <c r="H555" s="3"/>
    </row>
    <row r="556" spans="1:8" ht="15" customHeight="1" x14ac:dyDescent="0.2">
      <c r="A556" s="14" t="s">
        <v>830</v>
      </c>
      <c r="B556" s="10" t="str">
        <f>IFERROR(
    INDEX([1]FSHIP!B:B,MATCH(A556,[1]FSHIP!A:A,0)),
    IFERROR(
        INDEX([1]釣具商品ship!B:B,MATCH(A556,[1]釣具商品ship!A:A,0)),
        IFERROR(
            INDEX([1]玩具商品ship!B:B,MATCH(A556,[1]玩具商品ship!A:A,0)),
            IFERROR(
                INDEX([1]OEMship!B:B,MATCH(A556,[1]OEMship!A:A,0)),
                IFERROR(
                    INDEX([1]NV6ship!B:B,MATCH(A556,[1]NV6ship!A:A,0)),
                    IFERROR(
                        INDEX([1]NVship!B:B,MATCH(A556,[1]NVship!A:A,0)),
                        IFERROR(
                            INDEX([1]海ship!B:B,MATCH(A556,[1]海ship!A:A,0)),
                            IFERROR(
                                INDEX([1]ｾﾚship!B:B,MATCH(A556,[1]ｾﾚship!A:A,0)),
                                IFERROR(
                                    INDEX([1]ｾﾚﾓﾆｰ商品ship!B:B,MATCH(A556,[1]ｾﾚﾓﾆｰ商品ship!A:A,0)),
                                    INDEX([2]NV!D:D,MATCH(A556,[2]NV!C:C,0))
                                )
                            )
                        )
                    )
                )
            )
        )
    )
)</f>
        <v>ﾙﾐｶ･ﾌﾙｰﾙ【さくら】50枚　ﾋﾟﾝｸ</v>
      </c>
      <c r="C556" s="16" t="s">
        <v>802</v>
      </c>
      <c r="D556" s="4" t="str">
        <f t="shared" si="24"/>
        <v>ﾙﾐｶ･ﾌﾙｰﾙ【さくら】50枚　ﾋﾟﾝｸ ｜ 2F【05】 ｜ A-1</v>
      </c>
      <c r="E556" s="11" t="str">
        <f t="shared" si="25"/>
        <v>2F</v>
      </c>
      <c r="F556" s="12" t="s">
        <v>803</v>
      </c>
      <c r="G556" s="11" t="str">
        <f t="shared" si="26"/>
        <v>05・2FA-1</v>
      </c>
      <c r="H556" s="3"/>
    </row>
    <row r="557" spans="1:8" ht="15" customHeight="1" x14ac:dyDescent="0.2">
      <c r="A557" s="14" t="s">
        <v>831</v>
      </c>
      <c r="B557" s="10" t="str">
        <f>IFERROR(
    INDEX([1]FSHIP!B:B,MATCH(A557,[1]FSHIP!A:A,0)),
    IFERROR(
        INDEX([1]釣具商品ship!B:B,MATCH(A557,[1]釣具商品ship!A:A,0)),
        IFERROR(
            INDEX([1]玩具商品ship!B:B,MATCH(A557,[1]玩具商品ship!A:A,0)),
            IFERROR(
                INDEX([1]OEMship!B:B,MATCH(A557,[1]OEMship!A:A,0)),
                IFERROR(
                    INDEX([1]NV6ship!B:B,MATCH(A557,[1]NV6ship!A:A,0)),
                    IFERROR(
                        INDEX([1]NVship!B:B,MATCH(A557,[1]NVship!A:A,0)),
                        IFERROR(
                            INDEX([1]海ship!B:B,MATCH(A557,[1]海ship!A:A,0)),
                            IFERROR(
                                INDEX([1]ｾﾚship!B:B,MATCH(A557,[1]ｾﾚship!A:A,0)),
                                IFERROR(
                                    INDEX([1]ｾﾚﾓﾆｰ商品ship!B:B,MATCH(A557,[1]ｾﾚﾓﾆｰ商品ship!A:A,0)),
                                    INDEX([2]NV!D:D,MATCH(A557,[2]NV!C:C,0))
                                )
                            )
                        )
                    )
                )
            )
        )
    )
)</f>
        <v>ﾙﾐｶ･ﾌﾙｰﾙ【さくら】50枚　ﾊﾞｲｵﾚｯﾄ</v>
      </c>
      <c r="C557" s="16" t="s">
        <v>802</v>
      </c>
      <c r="D557" s="4" t="str">
        <f t="shared" si="24"/>
        <v>ﾙﾐｶ･ﾌﾙｰﾙ【さくら】50枚　ﾊﾞｲｵﾚｯﾄ ｜ 2F【05】 ｜ A-1</v>
      </c>
      <c r="E557" s="11" t="str">
        <f t="shared" si="25"/>
        <v>2F</v>
      </c>
      <c r="F557" s="12" t="s">
        <v>803</v>
      </c>
      <c r="G557" s="11" t="str">
        <f t="shared" si="26"/>
        <v>05・2FA-1</v>
      </c>
      <c r="H557" s="3"/>
    </row>
    <row r="558" spans="1:8" ht="15" customHeight="1" x14ac:dyDescent="0.2">
      <c r="A558" s="14" t="s">
        <v>860</v>
      </c>
      <c r="B558" s="10" t="str">
        <f>IFERROR(
    INDEX([1]FSHIP!B:B,MATCH(A558,[1]FSHIP!A:A,0)),
    IFERROR(
        INDEX([1]釣具商品ship!B:B,MATCH(A558,[1]釣具商品ship!A:A,0)),
        IFERROR(
            INDEX([1]玩具商品ship!B:B,MATCH(A558,[1]玩具商品ship!A:A,0)),
            IFERROR(
                INDEX([1]OEMship!B:B,MATCH(A558,[1]OEMship!A:A,0)),
                IFERROR(
                    INDEX([1]NV6ship!B:B,MATCH(A558,[1]NV6ship!A:A,0)),
                    IFERROR(
                        INDEX([1]NVship!B:B,MATCH(A558,[1]NVship!A:A,0)),
                        IFERROR(
                            INDEX([1]海ship!B:B,MATCH(A558,[1]海ship!A:A,0)),
                            IFERROR(
                                INDEX([1]ｾﾚship!B:B,MATCH(A558,[1]ｾﾚship!A:A,0)),
                                IFERROR(
                                    INDEX([1]ｾﾚﾓﾆｰ商品ship!B:B,MATCH(A558,[1]ｾﾚﾓﾆｰ商品ship!A:A,0)),
                                    INDEX([2]NV!D:D,MATCH(A558,[2]NV!C:C,0))
                                )
                            )
                        )
                    )
                )
            )
        )
    )
)</f>
        <v>ﾙﾐｶ･ﾌﾙｰﾙ【花びら】50枚 5色ｱｿｰﾄ</v>
      </c>
      <c r="C558" s="16" t="s">
        <v>848</v>
      </c>
      <c r="D558" s="4" t="str">
        <f t="shared" si="24"/>
        <v>ﾙﾐｶ･ﾌﾙｰﾙ【花びら】50枚 5色ｱｿｰﾄ ｜ 2F【05】 ｜ B-1</v>
      </c>
      <c r="E558" s="11" t="str">
        <f t="shared" si="25"/>
        <v>2F</v>
      </c>
      <c r="F558" s="12" t="s">
        <v>803</v>
      </c>
      <c r="G558" s="11" t="str">
        <f t="shared" si="26"/>
        <v>05・2FB-1</v>
      </c>
      <c r="H558" s="3"/>
    </row>
    <row r="559" spans="1:8" ht="15" customHeight="1" x14ac:dyDescent="0.2">
      <c r="A559" s="14" t="s">
        <v>828</v>
      </c>
      <c r="B559" s="10" t="str">
        <f>IFERROR(
    INDEX([1]FSHIP!B:B,MATCH(A559,[1]FSHIP!A:A,0)),
    IFERROR(
        INDEX([1]釣具商品ship!B:B,MATCH(A559,[1]釣具商品ship!A:A,0)),
        IFERROR(
            INDEX([1]玩具商品ship!B:B,MATCH(A559,[1]玩具商品ship!A:A,0)),
            IFERROR(
                INDEX([1]OEMship!B:B,MATCH(A559,[1]OEMship!A:A,0)),
                IFERROR(
                    INDEX([1]NV6ship!B:B,MATCH(A559,[1]NV6ship!A:A,0)),
                    IFERROR(
                        INDEX([1]NVship!B:B,MATCH(A559,[1]NVship!A:A,0)),
                        IFERROR(
                            INDEX([1]海ship!B:B,MATCH(A559,[1]海ship!A:A,0)),
                            IFERROR(
                                INDEX([1]ｾﾚship!B:B,MATCH(A559,[1]ｾﾚship!A:A,0)),
                                IFERROR(
                                    INDEX([1]ｾﾚﾓﾆｰ商品ship!B:B,MATCH(A559,[1]ｾﾚﾓﾆｰ商品ship!A:A,0)),
                                    INDEX([2]NV!D:D,MATCH(A559,[2]NV!C:C,0))
                                )
                            )
                        )
                    )
                )
            )
        )
    )
)</f>
        <v>ﾙﾐｶ･ﾌﾙｰﾙ【ﾎﾟｯﾌﾟｽﾀｰ】50枚 5色ｱｿｰﾄ</v>
      </c>
      <c r="C559" s="16" t="s">
        <v>802</v>
      </c>
      <c r="D559" s="4" t="str">
        <f t="shared" si="24"/>
        <v>ﾙﾐｶ･ﾌﾙｰﾙ【ﾎﾟｯﾌﾟｽﾀｰ】50枚 5色ｱｿｰﾄ ｜ 2F【05】 ｜ A-1</v>
      </c>
      <c r="E559" s="11" t="str">
        <f t="shared" si="25"/>
        <v>2F</v>
      </c>
      <c r="F559" s="12" t="s">
        <v>803</v>
      </c>
      <c r="G559" s="11" t="str">
        <f t="shared" si="26"/>
        <v>05・2FA-1</v>
      </c>
      <c r="H559" s="3"/>
    </row>
    <row r="560" spans="1:8" ht="15" customHeight="1" x14ac:dyDescent="0.2">
      <c r="A560" s="14" t="s">
        <v>882</v>
      </c>
      <c r="B560" s="10" t="str">
        <f>IFERROR(
    INDEX([1]FSHIP!B:B,MATCH(A560,[1]FSHIP!A:A,0)),
    IFERROR(
        INDEX([1]釣具商品ship!B:B,MATCH(A560,[1]釣具商品ship!A:A,0)),
        IFERROR(
            INDEX([1]玩具商品ship!B:B,MATCH(A560,[1]玩具商品ship!A:A,0)),
            IFERROR(
                INDEX([1]OEMship!B:B,MATCH(A560,[1]OEMship!A:A,0)),
                IFERROR(
                    INDEX([1]NV6ship!B:B,MATCH(A560,[1]NV6ship!A:A,0)),
                    IFERROR(
                        INDEX([1]NVship!B:B,MATCH(A560,[1]NVship!A:A,0)),
                        IFERROR(
                            INDEX([1]海ship!B:B,MATCH(A560,[1]海ship!A:A,0)),
                            IFERROR(
                                INDEX([1]ｾﾚship!B:B,MATCH(A560,[1]ｾﾚship!A:A,0)),
                                IFERROR(
                                    INDEX([1]ｾﾚﾓﾆｰ商品ship!B:B,MATCH(A560,[1]ｾﾚﾓﾆｰ商品ship!A:A,0)),
                                    INDEX([2]NV!D:D,MATCH(A560,[2]NV!C:C,0))
                                )
                            )
                        )
                    )
                )
            )
        )
    )
)</f>
        <v>ﾙﾐｶ･ﾌﾙｰﾙ【ﾌﾞﾛｰｳｨﾝｸﾞﾊｰﾄ】50枚 5色ｱｿｰﾄ</v>
      </c>
      <c r="C560" s="16" t="s">
        <v>848</v>
      </c>
      <c r="D560" s="4" t="str">
        <f t="shared" si="24"/>
        <v>ﾙﾐｶ･ﾌﾙｰﾙ【ﾌﾞﾛｰｳｨﾝｸﾞﾊｰﾄ】50枚 5色ｱｿｰﾄ ｜ 2F【05】 ｜ B-1</v>
      </c>
      <c r="E560" s="11" t="str">
        <f t="shared" si="25"/>
        <v>2F</v>
      </c>
      <c r="F560" s="12" t="s">
        <v>803</v>
      </c>
      <c r="G560" s="11" t="str">
        <f t="shared" si="26"/>
        <v>05・2FB-1</v>
      </c>
      <c r="H560" s="3"/>
    </row>
    <row r="561" spans="1:8" ht="15" customHeight="1" x14ac:dyDescent="0.2">
      <c r="A561" s="14" t="s">
        <v>877</v>
      </c>
      <c r="B561" s="10" t="str">
        <f>IFERROR(
    INDEX([1]FSHIP!B:B,MATCH(A561,[1]FSHIP!A:A,0)),
    IFERROR(
        INDEX([1]釣具商品ship!B:B,MATCH(A561,[1]釣具商品ship!A:A,0)),
        IFERROR(
            INDEX([1]玩具商品ship!B:B,MATCH(A561,[1]玩具商品ship!A:A,0)),
            IFERROR(
                INDEX([1]OEMship!B:B,MATCH(A561,[1]OEMship!A:A,0)),
                IFERROR(
                    INDEX([1]NV6ship!B:B,MATCH(A561,[1]NV6ship!A:A,0)),
                    IFERROR(
                        INDEX([1]NVship!B:B,MATCH(A561,[1]NVship!A:A,0)),
                        IFERROR(
                            INDEX([1]海ship!B:B,MATCH(A561,[1]海ship!A:A,0)),
                            IFERROR(
                                INDEX([1]ｾﾚship!B:B,MATCH(A561,[1]ｾﾚship!A:A,0)),
                                IFERROR(
                                    INDEX([1]ｾﾚﾓﾆｰ商品ship!B:B,MATCH(A561,[1]ｾﾚﾓﾆｰ商品ship!A:A,0)),
                                    INDEX([2]NV!D:D,MATCH(A561,[2]NV!C:C,0))
                                )
                            )
                        )
                    )
                )
            )
        )
    )
)</f>
        <v>ﾙﾐｶ･ﾌﾙｰﾙ【もみじ】50枚 ｵﾚﾝｼﾞ</v>
      </c>
      <c r="C561" s="16" t="s">
        <v>848</v>
      </c>
      <c r="D561" s="4" t="str">
        <f t="shared" si="24"/>
        <v>ﾙﾐｶ･ﾌﾙｰﾙ【もみじ】50枚 ｵﾚﾝｼﾞ ｜ 2F【05】 ｜ B-1</v>
      </c>
      <c r="E561" s="11" t="str">
        <f t="shared" si="25"/>
        <v>2F</v>
      </c>
      <c r="F561" s="12" t="s">
        <v>803</v>
      </c>
      <c r="G561" s="11" t="str">
        <f t="shared" si="26"/>
        <v>05・2FB-1</v>
      </c>
      <c r="H561" s="3"/>
    </row>
    <row r="562" spans="1:8" ht="15" customHeight="1" x14ac:dyDescent="0.2">
      <c r="A562" s="14" t="s">
        <v>876</v>
      </c>
      <c r="B562" s="10" t="str">
        <f>IFERROR(
    INDEX([1]FSHIP!B:B,MATCH(A562,[1]FSHIP!A:A,0)),
    IFERROR(
        INDEX([1]釣具商品ship!B:B,MATCH(A562,[1]釣具商品ship!A:A,0)),
        IFERROR(
            INDEX([1]玩具商品ship!B:B,MATCH(A562,[1]玩具商品ship!A:A,0)),
            IFERROR(
                INDEX([1]OEMship!B:B,MATCH(A562,[1]OEMship!A:A,0)),
                IFERROR(
                    INDEX([1]NV6ship!B:B,MATCH(A562,[1]NV6ship!A:A,0)),
                    IFERROR(
                        INDEX([1]NVship!B:B,MATCH(A562,[1]NVship!A:A,0)),
                        IFERROR(
                            INDEX([1]海ship!B:B,MATCH(A562,[1]海ship!A:A,0)),
                            IFERROR(
                                INDEX([1]ｾﾚship!B:B,MATCH(A562,[1]ｾﾚship!A:A,0)),
                                IFERROR(
                                    INDEX([1]ｾﾚﾓﾆｰ商品ship!B:B,MATCH(A562,[1]ｾﾚﾓﾆｰ商品ship!A:A,0)),
                                    INDEX([2]NV!D:D,MATCH(A562,[2]NV!C:C,0))
                                )
                            )
                        )
                    )
                )
            )
        )
    )
)</f>
        <v>ﾙﾐｶ･ﾌﾙｰﾙ【もみじ】50枚 ｲｴﾛｰ</v>
      </c>
      <c r="C562" s="16" t="s">
        <v>848</v>
      </c>
      <c r="D562" s="4" t="str">
        <f t="shared" si="24"/>
        <v>ﾙﾐｶ･ﾌﾙｰﾙ【もみじ】50枚 ｲｴﾛｰ ｜ 2F【05】 ｜ B-1</v>
      </c>
      <c r="E562" s="11" t="str">
        <f t="shared" si="25"/>
        <v>2F</v>
      </c>
      <c r="F562" s="12" t="s">
        <v>803</v>
      </c>
      <c r="G562" s="11" t="str">
        <f t="shared" si="26"/>
        <v>05・2FB-1</v>
      </c>
      <c r="H562" s="3"/>
    </row>
    <row r="563" spans="1:8" ht="15" customHeight="1" x14ac:dyDescent="0.2">
      <c r="A563" s="14" t="s">
        <v>875</v>
      </c>
      <c r="B563" s="10" t="str">
        <f>IFERROR(
    INDEX([1]FSHIP!B:B,MATCH(A563,[1]FSHIP!A:A,0)),
    IFERROR(
        INDEX([1]釣具商品ship!B:B,MATCH(A563,[1]釣具商品ship!A:A,0)),
        IFERROR(
            INDEX([1]玩具商品ship!B:B,MATCH(A563,[1]玩具商品ship!A:A,0)),
            IFERROR(
                INDEX([1]OEMship!B:B,MATCH(A563,[1]OEMship!A:A,0)),
                IFERROR(
                    INDEX([1]NV6ship!B:B,MATCH(A563,[1]NV6ship!A:A,0)),
                    IFERROR(
                        INDEX([1]NVship!B:B,MATCH(A563,[1]NVship!A:A,0)),
                        IFERROR(
                            INDEX([1]海ship!B:B,MATCH(A563,[1]海ship!A:A,0)),
                            IFERROR(
                                INDEX([1]ｾﾚship!B:B,MATCH(A563,[1]ｾﾚship!A:A,0)),
                                IFERROR(
                                    INDEX([1]ｾﾚﾓﾆｰ商品ship!B:B,MATCH(A563,[1]ｾﾚﾓﾆｰ商品ship!A:A,0)),
                                    INDEX([2]NV!D:D,MATCH(A563,[2]NV!C:C,0))
                                )
                            )
                        )
                    )
                )
            )
        )
    )
)</f>
        <v>ﾙﾐｶ･ﾌﾙｰﾙ【もみじ】50枚 ﾚｯﾄﾞ</v>
      </c>
      <c r="C563" s="16" t="s">
        <v>848</v>
      </c>
      <c r="D563" s="4" t="str">
        <f t="shared" si="24"/>
        <v>ﾙﾐｶ･ﾌﾙｰﾙ【もみじ】50枚 ﾚｯﾄﾞ ｜ 2F【05】 ｜ B-1</v>
      </c>
      <c r="E563" s="11" t="str">
        <f t="shared" si="25"/>
        <v>2F</v>
      </c>
      <c r="F563" s="12" t="s">
        <v>803</v>
      </c>
      <c r="G563" s="11" t="str">
        <f t="shared" si="26"/>
        <v>05・2FB-1</v>
      </c>
      <c r="H563" s="3"/>
    </row>
    <row r="564" spans="1:8" ht="15" customHeight="1" x14ac:dyDescent="0.2">
      <c r="A564" s="14" t="s">
        <v>879</v>
      </c>
      <c r="B564" s="10" t="str">
        <f>IFERROR(
    INDEX([1]FSHIP!B:B,MATCH(A564,[1]FSHIP!A:A,0)),
    IFERROR(
        INDEX([1]釣具商品ship!B:B,MATCH(A564,[1]釣具商品ship!A:A,0)),
        IFERROR(
            INDEX([1]玩具商品ship!B:B,MATCH(A564,[1]玩具商品ship!A:A,0)),
            IFERROR(
                INDEX([1]OEMship!B:B,MATCH(A564,[1]OEMship!A:A,0)),
                IFERROR(
                    INDEX([1]NV6ship!B:B,MATCH(A564,[1]NV6ship!A:A,0)),
                    IFERROR(
                        INDEX([1]NVship!B:B,MATCH(A564,[1]NVship!A:A,0)),
                        IFERROR(
                            INDEX([1]海ship!B:B,MATCH(A564,[1]海ship!A:A,0)),
                            IFERROR(
                                INDEX([1]ｾﾚship!B:B,MATCH(A564,[1]ｾﾚship!A:A,0)),
                                IFERROR(
                                    INDEX([1]ｾﾚﾓﾆｰ商品ship!B:B,MATCH(A564,[1]ｾﾚﾓﾆｰ商品ship!A:A,0)),
                                    INDEX([2]NV!D:D,MATCH(A564,[2]NV!C:C,0))
                                )
                            )
                        )
                    )
                )
            )
        )
    )
)</f>
        <v>ﾙﾐｶ･ﾌﾙｰﾙ【ﾌﾞﾛｰｳｨﾝｸﾞﾊｰﾄ】50枚</v>
      </c>
      <c r="C564" s="16" t="s">
        <v>848</v>
      </c>
      <c r="D564" s="4" t="str">
        <f t="shared" si="24"/>
        <v>ﾙﾐｶ･ﾌﾙｰﾙ【ﾌﾞﾛｰｳｨﾝｸﾞﾊｰﾄ】50枚 ｜ 2F【05】 ｜ B-1</v>
      </c>
      <c r="E564" s="11" t="str">
        <f t="shared" si="25"/>
        <v>2F</v>
      </c>
      <c r="F564" s="12" t="s">
        <v>803</v>
      </c>
      <c r="G564" s="11" t="str">
        <f t="shared" si="26"/>
        <v>05・2FB-1</v>
      </c>
      <c r="H564" s="3"/>
    </row>
    <row r="565" spans="1:8" ht="15" customHeight="1" x14ac:dyDescent="0.2">
      <c r="A565" s="14" t="s">
        <v>878</v>
      </c>
      <c r="B565" s="10" t="str">
        <f>IFERROR(
    INDEX([1]FSHIP!B:B,MATCH(A565,[1]FSHIP!A:A,0)),
    IFERROR(
        INDEX([1]釣具商品ship!B:B,MATCH(A565,[1]釣具商品ship!A:A,0)),
        IFERROR(
            INDEX([1]玩具商品ship!B:B,MATCH(A565,[1]玩具商品ship!A:A,0)),
            IFERROR(
                INDEX([1]OEMship!B:B,MATCH(A565,[1]OEMship!A:A,0)),
                IFERROR(
                    INDEX([1]NV6ship!B:B,MATCH(A565,[1]NV6ship!A:A,0)),
                    IFERROR(
                        INDEX([1]NVship!B:B,MATCH(A565,[1]NVship!A:A,0)),
                        IFERROR(
                            INDEX([1]海ship!B:B,MATCH(A565,[1]海ship!A:A,0)),
                            IFERROR(
                                INDEX([1]ｾﾚship!B:B,MATCH(A565,[1]ｾﾚship!A:A,0)),
                                IFERROR(
                                    INDEX([1]ｾﾚﾓﾆｰ商品ship!B:B,MATCH(A565,[1]ｾﾚﾓﾆｰ商品ship!A:A,0)),
                                    INDEX([2]NV!D:D,MATCH(A565,[2]NV!C:C,0))
                                )
                            )
                        )
                    )
                )
            )
        )
    )
)</f>
        <v>ﾙﾐｶ･ﾌﾙｰﾙ【ﾌﾞﾛｰｳｨﾝｸﾞﾊｰﾄ】50枚 ｲｴﾛｰ</v>
      </c>
      <c r="C565" s="16" t="s">
        <v>848</v>
      </c>
      <c r="D565" s="4" t="str">
        <f t="shared" si="24"/>
        <v>ﾙﾐｶ･ﾌﾙｰﾙ【ﾌﾞﾛｰｳｨﾝｸﾞﾊｰﾄ】50枚 ｲｴﾛｰ ｜ 2F【05】 ｜ B-1</v>
      </c>
      <c r="E565" s="11" t="str">
        <f t="shared" si="25"/>
        <v>2F</v>
      </c>
      <c r="F565" s="12" t="s">
        <v>803</v>
      </c>
      <c r="G565" s="11" t="str">
        <f t="shared" si="26"/>
        <v>05・2FB-1</v>
      </c>
      <c r="H565" s="3"/>
    </row>
    <row r="566" spans="1:8" ht="15" customHeight="1" x14ac:dyDescent="0.2">
      <c r="A566" s="14" t="s">
        <v>880</v>
      </c>
      <c r="B566" s="10" t="str">
        <f>IFERROR(
    INDEX([1]FSHIP!B:B,MATCH(A566,[1]FSHIP!A:A,0)),
    IFERROR(
        INDEX([1]釣具商品ship!B:B,MATCH(A566,[1]釣具商品ship!A:A,0)),
        IFERROR(
            INDEX([1]玩具商品ship!B:B,MATCH(A566,[1]玩具商品ship!A:A,0)),
            IFERROR(
                INDEX([1]OEMship!B:B,MATCH(A566,[1]OEMship!A:A,0)),
                IFERROR(
                    INDEX([1]NV6ship!B:B,MATCH(A566,[1]NV6ship!A:A,0)),
                    IFERROR(
                        INDEX([1]NVship!B:B,MATCH(A566,[1]NVship!A:A,0)),
                        IFERROR(
                            INDEX([1]海ship!B:B,MATCH(A566,[1]海ship!A:A,0)),
                            IFERROR(
                                INDEX([1]ｾﾚship!B:B,MATCH(A566,[1]ｾﾚship!A:A,0)),
                                IFERROR(
                                    INDEX([1]ｾﾚﾓﾆｰ商品ship!B:B,MATCH(A566,[1]ｾﾚﾓﾆｰ商品ship!A:A,0)),
                                    INDEX([2]NV!D:D,MATCH(A566,[2]NV!C:C,0))
                                )
                            )
                        )
                    )
                )
            )
        )
    )
)</f>
        <v>ﾙﾐｶ･ﾌﾙｰﾙ【ﾌﾞﾛｰｳｨﾝｸﾞﾊｰﾄ】50枚 ｸﾞﾘｰﾝ</v>
      </c>
      <c r="C566" s="16" t="s">
        <v>848</v>
      </c>
      <c r="D566" s="4" t="str">
        <f t="shared" si="24"/>
        <v>ﾙﾐｶ･ﾌﾙｰﾙ【ﾌﾞﾛｰｳｨﾝｸﾞﾊｰﾄ】50枚 ｸﾞﾘｰﾝ ｜ 2F【05】 ｜ B-1</v>
      </c>
      <c r="E566" s="11" t="str">
        <f t="shared" si="25"/>
        <v>2F</v>
      </c>
      <c r="F566" s="12" t="s">
        <v>803</v>
      </c>
      <c r="G566" s="11" t="str">
        <f t="shared" si="26"/>
        <v>05・2FB-1</v>
      </c>
      <c r="H566" s="3"/>
    </row>
    <row r="567" spans="1:8" ht="15" customHeight="1" x14ac:dyDescent="0.2">
      <c r="A567" s="14" t="s">
        <v>881</v>
      </c>
      <c r="B567" s="10" t="str">
        <f>IFERROR(
    INDEX([1]FSHIP!B:B,MATCH(A567,[1]FSHIP!A:A,0)),
    IFERROR(
        INDEX([1]釣具商品ship!B:B,MATCH(A567,[1]釣具商品ship!A:A,0)),
        IFERROR(
            INDEX([1]玩具商品ship!B:B,MATCH(A567,[1]玩具商品ship!A:A,0)),
            IFERROR(
                INDEX([1]OEMship!B:B,MATCH(A567,[1]OEMship!A:A,0)),
                IFERROR(
                    INDEX([1]NV6ship!B:B,MATCH(A567,[1]NV6ship!A:A,0)),
                    IFERROR(
                        INDEX([1]NVship!B:B,MATCH(A567,[1]NVship!A:A,0)),
                        IFERROR(
                            INDEX([1]海ship!B:B,MATCH(A567,[1]海ship!A:A,0)),
                            IFERROR(
                                INDEX([1]ｾﾚship!B:B,MATCH(A567,[1]ｾﾚship!A:A,0)),
                                IFERROR(
                                    INDEX([1]ｾﾚﾓﾆｰ商品ship!B:B,MATCH(A567,[1]ｾﾚﾓﾆｰ商品ship!A:A,0)),
                                    INDEX([2]NV!D:D,MATCH(A567,[2]NV!C:C,0))
                                )
                            )
                        )
                    )
                )
            )
        )
    )
)</f>
        <v>ﾙﾐｶ･ﾌﾙｰﾙ【ﾌﾞﾛｰｳｨﾝｸﾞﾊｰﾄ】50枚 ﾊﾞｲｵﾚｯﾄ</v>
      </c>
      <c r="C567" s="16" t="s">
        <v>848</v>
      </c>
      <c r="D567" s="4" t="str">
        <f t="shared" si="24"/>
        <v>ﾙﾐｶ･ﾌﾙｰﾙ【ﾌﾞﾛｰｳｨﾝｸﾞﾊｰﾄ】50枚 ﾊﾞｲｵﾚｯﾄ ｜ 2F【05】 ｜ B-1</v>
      </c>
      <c r="E567" s="11" t="str">
        <f t="shared" si="25"/>
        <v>2F</v>
      </c>
      <c r="F567" s="12" t="s">
        <v>803</v>
      </c>
      <c r="G567" s="11" t="str">
        <f t="shared" si="26"/>
        <v>05・2FB-1</v>
      </c>
      <c r="H567" s="3"/>
    </row>
    <row r="568" spans="1:8" ht="15" customHeight="1" x14ac:dyDescent="0.2">
      <c r="A568" s="14" t="s">
        <v>883</v>
      </c>
      <c r="B568" s="10" t="str">
        <f>IFERROR(
    INDEX([1]FSHIP!B:B,MATCH(A568,[1]FSHIP!A:A,0)),
    IFERROR(
        INDEX([1]釣具商品ship!B:B,MATCH(A568,[1]釣具商品ship!A:A,0)),
        IFERROR(
            INDEX([1]玩具商品ship!B:B,MATCH(A568,[1]玩具商品ship!A:A,0)),
            IFERROR(
                INDEX([1]OEMship!B:B,MATCH(A568,[1]OEMship!A:A,0)),
                IFERROR(
                    INDEX([1]NV6ship!B:B,MATCH(A568,[1]NV6ship!A:A,0)),
                    IFERROR(
                        INDEX([1]NVship!B:B,MATCH(A568,[1]NVship!A:A,0)),
                        IFERROR(
                            INDEX([1]海ship!B:B,MATCH(A568,[1]海ship!A:A,0)),
                            IFERROR(
                                INDEX([1]ｾﾚship!B:B,MATCH(A568,[1]ｾﾚship!A:A,0)),
                                IFERROR(
                                    INDEX([1]ｾﾚﾓﾆｰ商品ship!B:B,MATCH(A568,[1]ｾﾚﾓﾆｰ商品ship!A:A,0)),
                                    INDEX([2]NV!D:D,MATCH(A568,[2]NV!C:C,0))
                                )
                            )
                        )
                    )
                )
            )
        )
    )
)</f>
        <v>ﾙﾐｶ･ﾌﾙｰﾙ【ﾌﾞﾛｰｳｨﾝｸﾞﾊｰﾄ】50枚 ﾋﾟﾝｸ</v>
      </c>
      <c r="C568" s="16" t="s">
        <v>848</v>
      </c>
      <c r="D568" s="4" t="str">
        <f t="shared" si="24"/>
        <v>ﾙﾐｶ･ﾌﾙｰﾙ【ﾌﾞﾛｰｳｨﾝｸﾞﾊｰﾄ】50枚 ﾋﾟﾝｸ ｜ 2F【05】 ｜ B-1</v>
      </c>
      <c r="E568" s="11" t="str">
        <f t="shared" si="25"/>
        <v>2F</v>
      </c>
      <c r="F568" s="12" t="s">
        <v>803</v>
      </c>
      <c r="G568" s="11" t="str">
        <f t="shared" si="26"/>
        <v>05・2FB-1</v>
      </c>
      <c r="H568" s="3"/>
    </row>
    <row r="569" spans="1:8" ht="15" customHeight="1" x14ac:dyDescent="0.2">
      <c r="A569" s="14" t="s">
        <v>862</v>
      </c>
      <c r="B569" s="10" t="str">
        <f>IFERROR(
    INDEX([1]FSHIP!B:B,MATCH(A569,[1]FSHIP!A:A,0)),
    IFERROR(
        INDEX([1]釣具商品ship!B:B,MATCH(A569,[1]釣具商品ship!A:A,0)),
        IFERROR(
            INDEX([1]玩具商品ship!B:B,MATCH(A569,[1]玩具商品ship!A:A,0)),
            IFERROR(
                INDEX([1]OEMship!B:B,MATCH(A569,[1]OEMship!A:A,0)),
                IFERROR(
                    INDEX([1]NV6ship!B:B,MATCH(A569,[1]NV6ship!A:A,0)),
                    IFERROR(
                        INDEX([1]NVship!B:B,MATCH(A569,[1]NVship!A:A,0)),
                        IFERROR(
                            INDEX([1]海ship!B:B,MATCH(A569,[1]海ship!A:A,0)),
                            IFERROR(
                                INDEX([1]ｾﾚship!B:B,MATCH(A569,[1]ｾﾚship!A:A,0)),
                                IFERROR(
                                    INDEX([1]ｾﾚﾓﾆｰ商品ship!B:B,MATCH(A569,[1]ｾﾚﾓﾆｰ商品ship!A:A,0)),
                                    INDEX([2]NV!D:D,MATCH(A569,[2]NV!C:C,0))
                                )
                            )
                        )
                    )
                )
            )
        )
    )
)</f>
        <v>ﾙﾐｶ･ﾌﾙｰﾙ【雪の結晶】50枚</v>
      </c>
      <c r="C569" s="16" t="s">
        <v>848</v>
      </c>
      <c r="D569" s="4" t="str">
        <f t="shared" si="24"/>
        <v>ﾙﾐｶ･ﾌﾙｰﾙ【雪の結晶】50枚 ｜ 2F【05】 ｜ B-1</v>
      </c>
      <c r="E569" s="11" t="str">
        <f t="shared" si="25"/>
        <v>2F</v>
      </c>
      <c r="F569" s="12" t="s">
        <v>803</v>
      </c>
      <c r="G569" s="11" t="str">
        <f t="shared" si="26"/>
        <v>05・2FB-1</v>
      </c>
      <c r="H569" s="3"/>
    </row>
    <row r="570" spans="1:8" ht="15" customHeight="1" x14ac:dyDescent="0.2">
      <c r="A570" s="14" t="s">
        <v>891</v>
      </c>
      <c r="B570" s="10" t="str">
        <f>IFERROR(
    INDEX([1]FSHIP!B:B,MATCH(A570,[1]FSHIP!A:A,0)),
    IFERROR(
        INDEX([1]釣具商品ship!B:B,MATCH(A570,[1]釣具商品ship!A:A,0)),
        IFERROR(
            INDEX([1]玩具商品ship!B:B,MATCH(A570,[1]玩具商品ship!A:A,0)),
            IFERROR(
                INDEX([1]OEMship!B:B,MATCH(A570,[1]OEMship!A:A,0)),
                IFERROR(
                    INDEX([1]NV6ship!B:B,MATCH(A570,[1]NV6ship!A:A,0)),
                    IFERROR(
                        INDEX([1]NVship!B:B,MATCH(A570,[1]NVship!A:A,0)),
                        IFERROR(
                            INDEX([1]海ship!B:B,MATCH(A570,[1]海ship!A:A,0)),
                            IFERROR(
                                INDEX([1]ｾﾚship!B:B,MATCH(A570,[1]ｾﾚship!A:A,0)),
                                IFERROR(
                                    INDEX([1]ｾﾚﾓﾆｰ商品ship!B:B,MATCH(A570,[1]ｾﾚﾓﾆｰ商品ship!A:A,0)),
                                    INDEX([2]NV!D:D,MATCH(A570,[2]NV!C:C,0))
                                )
                            )
                        )
                    )
                )
            )
        )
    )
)</f>
        <v>ﾙﾐｶ･ﾌﾙｰﾙ【ﾊﾞﾗﾁｯﾌﾟ】50枚　ﾚｯﾄﾞ</v>
      </c>
      <c r="C570" s="16" t="s">
        <v>848</v>
      </c>
      <c r="D570" s="4" t="str">
        <f t="shared" si="24"/>
        <v>ﾙﾐｶ･ﾌﾙｰﾙ【ﾊﾞﾗﾁｯﾌﾟ】50枚　ﾚｯﾄﾞ ｜ 2F【05】 ｜ B-1</v>
      </c>
      <c r="E570" s="11" t="str">
        <f t="shared" si="25"/>
        <v>2F</v>
      </c>
      <c r="F570" s="12" t="s">
        <v>803</v>
      </c>
      <c r="G570" s="11" t="str">
        <f t="shared" si="26"/>
        <v>05・2FB-1</v>
      </c>
      <c r="H570" s="3"/>
    </row>
    <row r="571" spans="1:8" ht="15" customHeight="1" x14ac:dyDescent="0.2">
      <c r="A571" s="14" t="s">
        <v>890</v>
      </c>
      <c r="B571" s="10" t="str">
        <f>IFERROR(
    INDEX([1]FSHIP!B:B,MATCH(A571,[1]FSHIP!A:A,0)),
    IFERROR(
        INDEX([1]釣具商品ship!B:B,MATCH(A571,[1]釣具商品ship!A:A,0)),
        IFERROR(
            INDEX([1]玩具商品ship!B:B,MATCH(A571,[1]玩具商品ship!A:A,0)),
            IFERROR(
                INDEX([1]OEMship!B:B,MATCH(A571,[1]OEMship!A:A,0)),
                IFERROR(
                    INDEX([1]NV6ship!B:B,MATCH(A571,[1]NV6ship!A:A,0)),
                    IFERROR(
                        INDEX([1]NVship!B:B,MATCH(A571,[1]NVship!A:A,0)),
                        IFERROR(
                            INDEX([1]海ship!B:B,MATCH(A571,[1]海ship!A:A,0)),
                            IFERROR(
                                INDEX([1]ｾﾚship!B:B,MATCH(A571,[1]ｾﾚship!A:A,0)),
                                IFERROR(
                                    INDEX([1]ｾﾚﾓﾆｰ商品ship!B:B,MATCH(A571,[1]ｾﾚﾓﾆｰ商品ship!A:A,0)),
                                    INDEX([2]NV!D:D,MATCH(A571,[2]NV!C:C,0))
                                )
                            )
                        )
                    )
                )
            )
        )
    )
)</f>
        <v>ﾙﾐｶ･ﾌﾙｰﾙ【ﾊﾞﾗﾁｯﾌﾟ】50枚　ｵﾚﾝｼﾞ</v>
      </c>
      <c r="C571" s="16" t="s">
        <v>848</v>
      </c>
      <c r="D571" s="4" t="str">
        <f t="shared" si="24"/>
        <v>ﾙﾐｶ･ﾌﾙｰﾙ【ﾊﾞﾗﾁｯﾌﾟ】50枚　ｵﾚﾝｼﾞ ｜ 2F【05】 ｜ B-1</v>
      </c>
      <c r="E571" s="11" t="str">
        <f t="shared" si="25"/>
        <v>2F</v>
      </c>
      <c r="F571" s="12" t="s">
        <v>803</v>
      </c>
      <c r="G571" s="11" t="str">
        <f t="shared" si="26"/>
        <v>05・2FB-1</v>
      </c>
      <c r="H571" s="3"/>
    </row>
    <row r="572" spans="1:8" ht="15" customHeight="1" x14ac:dyDescent="0.2">
      <c r="A572" s="14" t="s">
        <v>888</v>
      </c>
      <c r="B572" s="10" t="str">
        <f>IFERROR(
    INDEX([1]FSHIP!B:B,MATCH(A572,[1]FSHIP!A:A,0)),
    IFERROR(
        INDEX([1]釣具商品ship!B:B,MATCH(A572,[1]釣具商品ship!A:A,0)),
        IFERROR(
            INDEX([1]玩具商品ship!B:B,MATCH(A572,[1]玩具商品ship!A:A,0)),
            IFERROR(
                INDEX([1]OEMship!B:B,MATCH(A572,[1]OEMship!A:A,0)),
                IFERROR(
                    INDEX([1]NV6ship!B:B,MATCH(A572,[1]NV6ship!A:A,0)),
                    IFERROR(
                        INDEX([1]NVship!B:B,MATCH(A572,[1]NVship!A:A,0)),
                        IFERROR(
                            INDEX([1]海ship!B:B,MATCH(A572,[1]海ship!A:A,0)),
                            IFERROR(
                                INDEX([1]ｾﾚship!B:B,MATCH(A572,[1]ｾﾚship!A:A,0)),
                                IFERROR(
                                    INDEX([1]ｾﾚﾓﾆｰ商品ship!B:B,MATCH(A572,[1]ｾﾚﾓﾆｰ商品ship!A:A,0)),
                                    INDEX([2]NV!D:D,MATCH(A572,[2]NV!C:C,0))
                                )
                            )
                        )
                    )
                )
            )
        )
    )
)</f>
        <v>ﾙﾐｶ･ﾌﾙｰﾙ【ﾊﾞﾗﾁｯﾌﾟ】50枚　ﾋﾟﾝｸ</v>
      </c>
      <c r="C572" s="16" t="s">
        <v>848</v>
      </c>
      <c r="D572" s="4" t="str">
        <f t="shared" si="24"/>
        <v>ﾙﾐｶ･ﾌﾙｰﾙ【ﾊﾞﾗﾁｯﾌﾟ】50枚　ﾋﾟﾝｸ ｜ 2F【05】 ｜ B-1</v>
      </c>
      <c r="E572" s="11" t="str">
        <f t="shared" si="25"/>
        <v>2F</v>
      </c>
      <c r="F572" s="12" t="s">
        <v>803</v>
      </c>
      <c r="G572" s="11" t="str">
        <f t="shared" si="26"/>
        <v>05・2FB-1</v>
      </c>
      <c r="H572" s="3"/>
    </row>
    <row r="573" spans="1:8" ht="15" customHeight="1" x14ac:dyDescent="0.2">
      <c r="A573" s="14" t="s">
        <v>889</v>
      </c>
      <c r="B573" s="10" t="str">
        <f>IFERROR(
    INDEX([1]FSHIP!B:B,MATCH(A573,[1]FSHIP!A:A,0)),
    IFERROR(
        INDEX([1]釣具商品ship!B:B,MATCH(A573,[1]釣具商品ship!A:A,0)),
        IFERROR(
            INDEX([1]玩具商品ship!B:B,MATCH(A573,[1]玩具商品ship!A:A,0)),
            IFERROR(
                INDEX([1]OEMship!B:B,MATCH(A573,[1]OEMship!A:A,0)),
                IFERROR(
                    INDEX([1]NV6ship!B:B,MATCH(A573,[1]NV6ship!A:A,0)),
                    IFERROR(
                        INDEX([1]NVship!B:B,MATCH(A573,[1]NVship!A:A,0)),
                        IFERROR(
                            INDEX([1]海ship!B:B,MATCH(A573,[1]海ship!A:A,0)),
                            IFERROR(
                                INDEX([1]ｾﾚship!B:B,MATCH(A573,[1]ｾﾚship!A:A,0)),
                                IFERROR(
                                    INDEX([1]ｾﾚﾓﾆｰ商品ship!B:B,MATCH(A573,[1]ｾﾚﾓﾆｰ商品ship!A:A,0)),
                                    INDEX([2]NV!D:D,MATCH(A573,[2]NV!C:C,0))
                                )
                            )
                        )
                    )
                )
            )
        )
    )
)</f>
        <v>ﾙﾐｶ･ﾌﾙｰﾙ【ﾊﾞﾗﾁｯﾌﾟ】50枚　ｲｴﾛｰ</v>
      </c>
      <c r="C573" s="16" t="s">
        <v>848</v>
      </c>
      <c r="D573" s="4" t="str">
        <f t="shared" si="24"/>
        <v>ﾙﾐｶ･ﾌﾙｰﾙ【ﾊﾞﾗﾁｯﾌﾟ】50枚　ｲｴﾛｰ ｜ 2F【05】 ｜ B-1</v>
      </c>
      <c r="E573" s="11" t="str">
        <f t="shared" si="25"/>
        <v>2F</v>
      </c>
      <c r="F573" s="12" t="s">
        <v>803</v>
      </c>
      <c r="G573" s="11" t="str">
        <f t="shared" si="26"/>
        <v>05・2FB-1</v>
      </c>
      <c r="H573" s="3"/>
    </row>
    <row r="574" spans="1:8" ht="15" customHeight="1" x14ac:dyDescent="0.2">
      <c r="A574" s="14" t="s">
        <v>887</v>
      </c>
      <c r="B574" s="10" t="str">
        <f>IFERROR(
    INDEX([1]FSHIP!B:B,MATCH(A574,[1]FSHIP!A:A,0)),
    IFERROR(
        INDEX([1]釣具商品ship!B:B,MATCH(A574,[1]釣具商品ship!A:A,0)),
        IFERROR(
            INDEX([1]玩具商品ship!B:B,MATCH(A574,[1]玩具商品ship!A:A,0)),
            IFERROR(
                INDEX([1]OEMship!B:B,MATCH(A574,[1]OEMship!A:A,0)),
                IFERROR(
                    INDEX([1]NV6ship!B:B,MATCH(A574,[1]NV6ship!A:A,0)),
                    IFERROR(
                        INDEX([1]NVship!B:B,MATCH(A574,[1]NVship!A:A,0)),
                        IFERROR(
                            INDEX([1]海ship!B:B,MATCH(A574,[1]海ship!A:A,0)),
                            IFERROR(
                                INDEX([1]ｾﾚship!B:B,MATCH(A574,[1]ｾﾚship!A:A,0)),
                                IFERROR(
                                    INDEX([1]ｾﾚﾓﾆｰ商品ship!B:B,MATCH(A574,[1]ｾﾚﾓﾆｰ商品ship!A:A,0)),
                                    INDEX([2]NV!D:D,MATCH(A574,[2]NV!C:C,0))
                                )
                            )
                        )
                    )
                )
            )
        )
    )
)</f>
        <v>ﾙﾐｶ･ﾌﾙｰﾙ【ﾊﾞﾗﾁｯﾌﾟ】50枚　ｸﾞﾘｰﾝ</v>
      </c>
      <c r="C574" s="16" t="s">
        <v>848</v>
      </c>
      <c r="D574" s="4" t="str">
        <f t="shared" si="24"/>
        <v>ﾙﾐｶ･ﾌﾙｰﾙ【ﾊﾞﾗﾁｯﾌﾟ】50枚　ｸﾞﾘｰﾝ ｜ 2F【05】 ｜ B-1</v>
      </c>
      <c r="E574" s="11" t="str">
        <f t="shared" si="25"/>
        <v>2F</v>
      </c>
      <c r="F574" s="12" t="s">
        <v>803</v>
      </c>
      <c r="G574" s="11" t="str">
        <f t="shared" si="26"/>
        <v>05・2FB-1</v>
      </c>
      <c r="H574" s="3"/>
    </row>
    <row r="575" spans="1:8" ht="15" customHeight="1" x14ac:dyDescent="0.2">
      <c r="A575" s="14" t="s">
        <v>886</v>
      </c>
      <c r="B575" s="10" t="str">
        <f>IFERROR(
    INDEX([1]FSHIP!B:B,MATCH(A575,[1]FSHIP!A:A,0)),
    IFERROR(
        INDEX([1]釣具商品ship!B:B,MATCH(A575,[1]釣具商品ship!A:A,0)),
        IFERROR(
            INDEX([1]玩具商品ship!B:B,MATCH(A575,[1]玩具商品ship!A:A,0)),
            IFERROR(
                INDEX([1]OEMship!B:B,MATCH(A575,[1]OEMship!A:A,0)),
                IFERROR(
                    INDEX([1]NV6ship!B:B,MATCH(A575,[1]NV6ship!A:A,0)),
                    IFERROR(
                        INDEX([1]NVship!B:B,MATCH(A575,[1]NVship!A:A,0)),
                        IFERROR(
                            INDEX([1]海ship!B:B,MATCH(A575,[1]海ship!A:A,0)),
                            IFERROR(
                                INDEX([1]ｾﾚship!B:B,MATCH(A575,[1]ｾﾚship!A:A,0)),
                                IFERROR(
                                    INDEX([1]ｾﾚﾓﾆｰ商品ship!B:B,MATCH(A575,[1]ｾﾚﾓﾆｰ商品ship!A:A,0)),
                                    INDEX([2]NV!D:D,MATCH(A575,[2]NV!C:C,0))
                                )
                            )
                        )
                    )
                )
            )
        )
    )
)</f>
        <v>ﾙﾐｶ･ﾌﾙｰﾙ【ﾊﾞﾀﾌﾗｲ】50枚　ﾚｯﾄﾞ</v>
      </c>
      <c r="C575" s="16" t="s">
        <v>848</v>
      </c>
      <c r="D575" s="4" t="str">
        <f t="shared" si="24"/>
        <v>ﾙﾐｶ･ﾌﾙｰﾙ【ﾊﾞﾀﾌﾗｲ】50枚　ﾚｯﾄﾞ ｜ 2F【05】 ｜ B-1</v>
      </c>
      <c r="E575" s="11" t="str">
        <f t="shared" si="25"/>
        <v>2F</v>
      </c>
      <c r="F575" s="12" t="s">
        <v>803</v>
      </c>
      <c r="G575" s="11" t="str">
        <f t="shared" si="26"/>
        <v>05・2FB-1</v>
      </c>
      <c r="H575" s="3"/>
    </row>
    <row r="576" spans="1:8" ht="15" customHeight="1" x14ac:dyDescent="0.2">
      <c r="A576" s="14" t="s">
        <v>884</v>
      </c>
      <c r="B576" s="10" t="str">
        <f>IFERROR(
    INDEX([1]FSHIP!B:B,MATCH(A576,[1]FSHIP!A:A,0)),
    IFERROR(
        INDEX([1]釣具商品ship!B:B,MATCH(A576,[1]釣具商品ship!A:A,0)),
        IFERROR(
            INDEX([1]玩具商品ship!B:B,MATCH(A576,[1]玩具商品ship!A:A,0)),
            IFERROR(
                INDEX([1]OEMship!B:B,MATCH(A576,[1]OEMship!A:A,0)),
                IFERROR(
                    INDEX([1]NV6ship!B:B,MATCH(A576,[1]NV6ship!A:A,0)),
                    IFERROR(
                        INDEX([1]NVship!B:B,MATCH(A576,[1]NVship!A:A,0)),
                        IFERROR(
                            INDEX([1]海ship!B:B,MATCH(A576,[1]海ship!A:A,0)),
                            IFERROR(
                                INDEX([1]ｾﾚship!B:B,MATCH(A576,[1]ｾﾚship!A:A,0)),
                                IFERROR(
                                    INDEX([1]ｾﾚﾓﾆｰ商品ship!B:B,MATCH(A576,[1]ｾﾚﾓﾆｰ商品ship!A:A,0)),
                                    INDEX([2]NV!D:D,MATCH(A576,[2]NV!C:C,0))
                                )
                            )
                        )
                    )
                )
            )
        )
    )
)</f>
        <v>ﾙﾐｶ･ﾌﾙｰﾙ【ﾊﾞﾀﾌﾗｲ】50枚　ﾋﾟﾝｸ</v>
      </c>
      <c r="C576" s="16" t="s">
        <v>848</v>
      </c>
      <c r="D576" s="4" t="str">
        <f t="shared" si="24"/>
        <v>ﾙﾐｶ･ﾌﾙｰﾙ【ﾊﾞﾀﾌﾗｲ】50枚　ﾋﾟﾝｸ ｜ 2F【05】 ｜ B-1</v>
      </c>
      <c r="E576" s="11" t="str">
        <f t="shared" si="25"/>
        <v>2F</v>
      </c>
      <c r="F576" s="12" t="s">
        <v>803</v>
      </c>
      <c r="G576" s="11" t="str">
        <f t="shared" si="26"/>
        <v>05・2FB-1</v>
      </c>
      <c r="H576" s="3"/>
    </row>
    <row r="577" spans="1:8" ht="15" customHeight="1" x14ac:dyDescent="0.2">
      <c r="A577" s="14" t="s">
        <v>885</v>
      </c>
      <c r="B577" s="10" t="str">
        <f>IFERROR(
    INDEX([1]FSHIP!B:B,MATCH(A577,[1]FSHIP!A:A,0)),
    IFERROR(
        INDEX([1]釣具商品ship!B:B,MATCH(A577,[1]釣具商品ship!A:A,0)),
        IFERROR(
            INDEX([1]玩具商品ship!B:B,MATCH(A577,[1]玩具商品ship!A:A,0)),
            IFERROR(
                INDEX([1]OEMship!B:B,MATCH(A577,[1]OEMship!A:A,0)),
                IFERROR(
                    INDEX([1]NV6ship!B:B,MATCH(A577,[1]NV6ship!A:A,0)),
                    IFERROR(
                        INDEX([1]NVship!B:B,MATCH(A577,[1]NVship!A:A,0)),
                        IFERROR(
                            INDEX([1]海ship!B:B,MATCH(A577,[1]海ship!A:A,0)),
                            IFERROR(
                                INDEX([1]ｾﾚship!B:B,MATCH(A577,[1]ｾﾚship!A:A,0)),
                                IFERROR(
                                    INDEX([1]ｾﾚﾓﾆｰ商品ship!B:B,MATCH(A577,[1]ｾﾚﾓﾆｰ商品ship!A:A,0)),
                                    INDEX([2]NV!D:D,MATCH(A577,[2]NV!C:C,0))
                                )
                            )
                        )
                    )
                )
            )
        )
    )
)</f>
        <v>ﾙﾐｶ･ﾌﾙｰﾙ【ﾌｪｻﾞｰ】50枚　ﾎﾜｲﾄ</v>
      </c>
      <c r="C577" s="16" t="s">
        <v>848</v>
      </c>
      <c r="D577" s="4" t="str">
        <f t="shared" si="24"/>
        <v>ﾙﾐｶ･ﾌﾙｰﾙ【ﾌｪｻﾞｰ】50枚　ﾎﾜｲﾄ ｜ 2F【05】 ｜ B-1</v>
      </c>
      <c r="E577" s="11" t="str">
        <f t="shared" si="25"/>
        <v>2F</v>
      </c>
      <c r="F577" s="12" t="s">
        <v>803</v>
      </c>
      <c r="G577" s="11" t="str">
        <f t="shared" si="26"/>
        <v>05・2FB-1</v>
      </c>
      <c r="H577" s="3"/>
    </row>
    <row r="578" spans="1:8" ht="15" customHeight="1" x14ac:dyDescent="0.2">
      <c r="A578" s="14" t="s">
        <v>820</v>
      </c>
      <c r="B578" s="10" t="str">
        <f>IFERROR(
    INDEX([1]FSHIP!B:B,MATCH(A578,[1]FSHIP!A:A,0)),
    IFERROR(
        INDEX([1]釣具商品ship!B:B,MATCH(A578,[1]釣具商品ship!A:A,0)),
        IFERROR(
            INDEX([1]玩具商品ship!B:B,MATCH(A578,[1]玩具商品ship!A:A,0)),
            IFERROR(
                INDEX([1]OEMship!B:B,MATCH(A578,[1]OEMship!A:A,0)),
                IFERROR(
                    INDEX([1]NV6ship!B:B,MATCH(A578,[1]NV6ship!A:A,0)),
                    IFERROR(
                        INDEX([1]NVship!B:B,MATCH(A578,[1]NVship!A:A,0)),
                        IFERROR(
                            INDEX([1]海ship!B:B,MATCH(A578,[1]海ship!A:A,0)),
                            IFERROR(
                                INDEX([1]ｾﾚship!B:B,MATCH(A578,[1]ｾﾚship!A:A,0)),
                                IFERROR(
                                    INDEX([1]ｾﾚﾓﾆｰ商品ship!B:B,MATCH(A578,[1]ｾﾚﾓﾆｰ商品ship!A:A,0)),
                                    INDEX([2]NV!D:D,MATCH(A578,[2]NV!C:C,0))
                                )
                            )
                        )
                    )
                )
            )
        )
    )
)</f>
        <v>ｾﾚﾓﾆｰｾｯﾄ酸化液 500ml</v>
      </c>
      <c r="C578" s="16" t="s">
        <v>802</v>
      </c>
      <c r="D578" s="4" t="str">
        <f t="shared" ref="D578:D641" si="27">B578&amp;" ｜ "&amp;E578&amp;"【"&amp;F578&amp;"】 ｜ "&amp;C578</f>
        <v>ｾﾚﾓﾆｰｾｯﾄ酸化液 500ml ｜ 2F【05】 ｜ A-1</v>
      </c>
      <c r="E578" s="11" t="str">
        <f t="shared" ref="E578:E641" si="28">INDEX(K:K, MATCH(F578, J:J, 0))</f>
        <v>2F</v>
      </c>
      <c r="F578" s="12" t="s">
        <v>803</v>
      </c>
      <c r="G578" s="11" t="str">
        <f t="shared" ref="G578:G641" si="29">F578&amp;"・"&amp;E578&amp;C578</f>
        <v>05・2FA-1</v>
      </c>
      <c r="H578" s="3"/>
    </row>
    <row r="579" spans="1:8" ht="15" customHeight="1" x14ac:dyDescent="0.2">
      <c r="A579" s="14" t="s">
        <v>806</v>
      </c>
      <c r="B579" s="10" t="str">
        <f>IFERROR(
    INDEX([1]FSHIP!B:B,MATCH(A579,[1]FSHIP!A:A,0)),
    IFERROR(
        INDEX([1]釣具商品ship!B:B,MATCH(A579,[1]釣具商品ship!A:A,0)),
        IFERROR(
            INDEX([1]玩具商品ship!B:B,MATCH(A579,[1]玩具商品ship!A:A,0)),
            IFERROR(
                INDEX([1]OEMship!B:B,MATCH(A579,[1]OEMship!A:A,0)),
                IFERROR(
                    INDEX([1]NV6ship!B:B,MATCH(A579,[1]NV6ship!A:A,0)),
                    IFERROR(
                        INDEX([1]NVship!B:B,MATCH(A579,[1]NVship!A:A,0)),
                        IFERROR(
                            INDEX([1]海ship!B:B,MATCH(A579,[1]海ship!A:A,0)),
                            IFERROR(
                                INDEX([1]ｾﾚship!B:B,MATCH(A579,[1]ｾﾚship!A:A,0)),
                                IFERROR(
                                    INDEX([1]ｾﾚﾓﾆｰ商品ship!B:B,MATCH(A579,[1]ｾﾚﾓﾆｰ商品ship!A:A,0)),
                                    INDEX([2]NV!D:D,MATCH(A579,[2]NV!C:C,0))
                                )
                            )
                        )
                    )
                )
            )
        )
    )
)</f>
        <v>ドレスドール　グリーン</v>
      </c>
      <c r="C579" s="16" t="s">
        <v>802</v>
      </c>
      <c r="D579" s="4" t="str">
        <f t="shared" si="27"/>
        <v>ドレスドール　グリーン ｜ 2F【05】 ｜ A-1</v>
      </c>
      <c r="E579" s="11" t="str">
        <f t="shared" si="28"/>
        <v>2F</v>
      </c>
      <c r="F579" s="12" t="s">
        <v>803</v>
      </c>
      <c r="G579" s="11" t="str">
        <f t="shared" si="29"/>
        <v>05・2FA-1</v>
      </c>
      <c r="H579" s="3"/>
    </row>
    <row r="580" spans="1:8" ht="15" customHeight="1" x14ac:dyDescent="0.2">
      <c r="A580" s="14" t="s">
        <v>807</v>
      </c>
      <c r="B580" s="10" t="e">
        <f>IFERROR(
    INDEX([1]FSHIP!B:B,MATCH(A580,[1]FSHIP!A:A,0)),
    IFERROR(
        INDEX([1]釣具商品ship!B:B,MATCH(A580,[1]釣具商品ship!A:A,0)),
        IFERROR(
            INDEX([1]玩具商品ship!B:B,MATCH(A580,[1]玩具商品ship!A:A,0)),
            IFERROR(
                INDEX([1]OEMship!B:B,MATCH(A580,[1]OEMship!A:A,0)),
                IFERROR(
                    INDEX([1]NV6ship!B:B,MATCH(A580,[1]NV6ship!A:A,0)),
                    IFERROR(
                        INDEX([1]NVship!B:B,MATCH(A580,[1]NVship!A:A,0)),
                        IFERROR(
                            INDEX([1]海ship!B:B,MATCH(A580,[1]海ship!A:A,0)),
                            IFERROR(
                                INDEX([1]ｾﾚship!B:B,MATCH(A580,[1]ｾﾚship!A:A,0)),
                                IFERROR(
                                    INDEX([1]ｾﾚﾓﾆｰ商品ship!B:B,MATCH(A580,[1]ｾﾚﾓﾆｰ商品ship!A:A,0)),
                                    INDEX([2]NV!D:D,MATCH(A580,[2]NV!C:C,0))
                                )
                            )
                        )
                    )
                )
            )
        )
    )
)</f>
        <v>#N/A</v>
      </c>
      <c r="C580" s="16" t="s">
        <v>802</v>
      </c>
      <c r="D580" s="4" t="e">
        <f t="shared" si="27"/>
        <v>#N/A</v>
      </c>
      <c r="E580" s="11" t="str">
        <f t="shared" si="28"/>
        <v>2F</v>
      </c>
      <c r="F580" s="12" t="s">
        <v>803</v>
      </c>
      <c r="G580" s="11" t="str">
        <f t="shared" si="29"/>
        <v>05・2FA-1</v>
      </c>
      <c r="H580" s="3"/>
    </row>
    <row r="581" spans="1:8" ht="15" customHeight="1" x14ac:dyDescent="0.2">
      <c r="A581" s="14" t="s">
        <v>808</v>
      </c>
      <c r="B581" s="10" t="str">
        <f>IFERROR(
    INDEX([1]FSHIP!B:B,MATCH(A581,[1]FSHIP!A:A,0)),
    IFERROR(
        INDEX([1]釣具商品ship!B:B,MATCH(A581,[1]釣具商品ship!A:A,0)),
        IFERROR(
            INDEX([1]玩具商品ship!B:B,MATCH(A581,[1]玩具商品ship!A:A,0)),
            IFERROR(
                INDEX([1]OEMship!B:B,MATCH(A581,[1]OEMship!A:A,0)),
                IFERROR(
                    INDEX([1]NV6ship!B:B,MATCH(A581,[1]NV6ship!A:A,0)),
                    IFERROR(
                        INDEX([1]NVship!B:B,MATCH(A581,[1]NVship!A:A,0)),
                        IFERROR(
                            INDEX([1]海ship!B:B,MATCH(A581,[1]海ship!A:A,0)),
                            IFERROR(
                                INDEX([1]ｾﾚship!B:B,MATCH(A581,[1]ｾﾚship!A:A,0)),
                                IFERROR(
                                    INDEX([1]ｾﾚﾓﾆｰ商品ship!B:B,MATCH(A581,[1]ｾﾚﾓﾆｰ商品ship!A:A,0)),
                                    INDEX([2]NV!D:D,MATCH(A581,[2]NV!C:C,0))
                                )
                            )
                        )
                    )
                )
            )
        )
    )
)</f>
        <v>ドレスドール　ピンク</v>
      </c>
      <c r="C581" s="16" t="s">
        <v>802</v>
      </c>
      <c r="D581" s="4" t="str">
        <f t="shared" si="27"/>
        <v>ドレスドール　ピンク ｜ 2F【05】 ｜ A-1</v>
      </c>
      <c r="E581" s="11" t="str">
        <f t="shared" si="28"/>
        <v>2F</v>
      </c>
      <c r="F581" s="12" t="s">
        <v>803</v>
      </c>
      <c r="G581" s="11" t="str">
        <f t="shared" si="29"/>
        <v>05・2FA-1</v>
      </c>
      <c r="H581" s="3"/>
    </row>
    <row r="582" spans="1:8" ht="15" customHeight="1" x14ac:dyDescent="0.2">
      <c r="A582" s="14" t="s">
        <v>809</v>
      </c>
      <c r="B582" s="10" t="str">
        <f>IFERROR(
    INDEX([1]FSHIP!B:B,MATCH(A582,[1]FSHIP!A:A,0)),
    IFERROR(
        INDEX([1]釣具商品ship!B:B,MATCH(A582,[1]釣具商品ship!A:A,0)),
        IFERROR(
            INDEX([1]玩具商品ship!B:B,MATCH(A582,[1]玩具商品ship!A:A,0)),
            IFERROR(
                INDEX([1]OEMship!B:B,MATCH(A582,[1]OEMship!A:A,0)),
                IFERROR(
                    INDEX([1]NV6ship!B:B,MATCH(A582,[1]NV6ship!A:A,0)),
                    IFERROR(
                        INDEX([1]NVship!B:B,MATCH(A582,[1]NVship!A:A,0)),
                        IFERROR(
                            INDEX([1]海ship!B:B,MATCH(A582,[1]海ship!A:A,0)),
                            IFERROR(
                                INDEX([1]ｾﾚship!B:B,MATCH(A582,[1]ｾﾚship!A:A,0)),
                                IFERROR(
                                    INDEX([1]ｾﾚﾓﾆｰ商品ship!B:B,MATCH(A582,[1]ｾﾚﾓﾆｰ商品ship!A:A,0)),
                                    INDEX([2]NV!D:D,MATCH(A582,[2]NV!C:C,0))
                                )
                            )
                        )
                    )
                )
            )
        )
    )
)</f>
        <v>ドレスドール　オレンジ</v>
      </c>
      <c r="C582" s="16" t="s">
        <v>802</v>
      </c>
      <c r="D582" s="4" t="str">
        <f t="shared" si="27"/>
        <v>ドレスドール　オレンジ ｜ 2F【05】 ｜ A-1</v>
      </c>
      <c r="E582" s="11" t="str">
        <f t="shared" si="28"/>
        <v>2F</v>
      </c>
      <c r="F582" s="12" t="s">
        <v>803</v>
      </c>
      <c r="G582" s="11" t="str">
        <f t="shared" si="29"/>
        <v>05・2FA-1</v>
      </c>
      <c r="H582" s="3"/>
    </row>
    <row r="583" spans="1:8" ht="15" customHeight="1" x14ac:dyDescent="0.2">
      <c r="A583" s="14" t="s">
        <v>810</v>
      </c>
      <c r="B583" s="10" t="e">
        <f>IFERROR(
    INDEX([1]FSHIP!B:B,MATCH(A583,[1]FSHIP!A:A,0)),
    IFERROR(
        INDEX([1]釣具商品ship!B:B,MATCH(A583,[1]釣具商品ship!A:A,0)),
        IFERROR(
            INDEX([1]玩具商品ship!B:B,MATCH(A583,[1]玩具商品ship!A:A,0)),
            IFERROR(
                INDEX([1]OEMship!B:B,MATCH(A583,[1]OEMship!A:A,0)),
                IFERROR(
                    INDEX([1]NV6ship!B:B,MATCH(A583,[1]NV6ship!A:A,0)),
                    IFERROR(
                        INDEX([1]NVship!B:B,MATCH(A583,[1]NVship!A:A,0)),
                        IFERROR(
                            INDEX([1]海ship!B:B,MATCH(A583,[1]海ship!A:A,0)),
                            IFERROR(
                                INDEX([1]ｾﾚship!B:B,MATCH(A583,[1]ｾﾚship!A:A,0)),
                                IFERROR(
                                    INDEX([1]ｾﾚﾓﾆｰ商品ship!B:B,MATCH(A583,[1]ｾﾚﾓﾆｰ商品ship!A:A,0)),
                                    INDEX([2]NV!D:D,MATCH(A583,[2]NV!C:C,0))
                                )
                            )
                        )
                    )
                )
            )
        )
    )
)</f>
        <v>#N/A</v>
      </c>
      <c r="C583" s="16" t="s">
        <v>802</v>
      </c>
      <c r="D583" s="4" t="e">
        <f t="shared" si="27"/>
        <v>#N/A</v>
      </c>
      <c r="E583" s="11" t="str">
        <f t="shared" si="28"/>
        <v>2F</v>
      </c>
      <c r="F583" s="12" t="s">
        <v>803</v>
      </c>
      <c r="G583" s="11" t="str">
        <f t="shared" si="29"/>
        <v>05・2FA-1</v>
      </c>
      <c r="H583" s="3"/>
    </row>
    <row r="584" spans="1:8" ht="15" customHeight="1" x14ac:dyDescent="0.2">
      <c r="A584" s="14" t="s">
        <v>811</v>
      </c>
      <c r="B584" s="10" t="str">
        <f>IFERROR(
    INDEX([1]FSHIP!B:B,MATCH(A584,[1]FSHIP!A:A,0)),
    IFERROR(
        INDEX([1]釣具商品ship!B:B,MATCH(A584,[1]釣具商品ship!A:A,0)),
        IFERROR(
            INDEX([1]玩具商品ship!B:B,MATCH(A584,[1]玩具商品ship!A:A,0)),
            IFERROR(
                INDEX([1]OEMship!B:B,MATCH(A584,[1]OEMship!A:A,0)),
                IFERROR(
                    INDEX([1]NV6ship!B:B,MATCH(A584,[1]NV6ship!A:A,0)),
                    IFERROR(
                        INDEX([1]NVship!B:B,MATCH(A584,[1]NVship!A:A,0)),
                        IFERROR(
                            INDEX([1]海ship!B:B,MATCH(A584,[1]海ship!A:A,0)),
                            IFERROR(
                                INDEX([1]ｾﾚship!B:B,MATCH(A584,[1]ｾﾚship!A:A,0)),
                                IFERROR(
                                    INDEX([1]ｾﾚﾓﾆｰ商品ship!B:B,MATCH(A584,[1]ｾﾚﾓﾆｰ商品ship!A:A,0)),
                                    INDEX([2]NV!D:D,MATCH(A584,[2]NV!C:C,0))
                                )
                            )
                        )
                    )
                )
            )
        )
    )
)</f>
        <v>ドレスドール　レッド</v>
      </c>
      <c r="C584" s="16" t="s">
        <v>802</v>
      </c>
      <c r="D584" s="4" t="str">
        <f t="shared" si="27"/>
        <v>ドレスドール　レッド ｜ 2F【05】 ｜ A-1</v>
      </c>
      <c r="E584" s="11" t="str">
        <f t="shared" si="28"/>
        <v>2F</v>
      </c>
      <c r="F584" s="12" t="s">
        <v>803</v>
      </c>
      <c r="G584" s="11" t="str">
        <f t="shared" si="29"/>
        <v>05・2FA-1</v>
      </c>
      <c r="H584" s="3"/>
    </row>
    <row r="585" spans="1:8" ht="15" customHeight="1" x14ac:dyDescent="0.2">
      <c r="A585" s="14" t="s">
        <v>812</v>
      </c>
      <c r="B585" s="10" t="str">
        <f>IFERROR(
    INDEX([1]FSHIP!B:B,MATCH(A585,[1]FSHIP!A:A,0)),
    IFERROR(
        INDEX([1]釣具商品ship!B:B,MATCH(A585,[1]釣具商品ship!A:A,0)),
        IFERROR(
            INDEX([1]玩具商品ship!B:B,MATCH(A585,[1]玩具商品ship!A:A,0)),
            IFERROR(
                INDEX([1]OEMship!B:B,MATCH(A585,[1]OEMship!A:A,0)),
                IFERROR(
                    INDEX([1]NV6ship!B:B,MATCH(A585,[1]NV6ship!A:A,0)),
                    IFERROR(
                        INDEX([1]NVship!B:B,MATCH(A585,[1]NVship!A:A,0)),
                        IFERROR(
                            INDEX([1]海ship!B:B,MATCH(A585,[1]海ship!A:A,0)),
                            IFERROR(
                                INDEX([1]ｾﾚship!B:B,MATCH(A585,[1]ｾﾚship!A:A,0)),
                                IFERROR(
                                    INDEX([1]ｾﾚﾓﾆｰ商品ship!B:B,MATCH(A585,[1]ｾﾚﾓﾆｰ商品ship!A:A,0)),
                                    INDEX([2]NV!D:D,MATCH(A585,[2]NV!C:C,0))
                                )
                            )
                        )
                    )
                )
            )
        )
    )
)</f>
        <v>ドレスドール　バイオレット</v>
      </c>
      <c r="C585" s="16" t="s">
        <v>802</v>
      </c>
      <c r="D585" s="4" t="str">
        <f t="shared" si="27"/>
        <v>ドレスドール　バイオレット ｜ 2F【05】 ｜ A-1</v>
      </c>
      <c r="E585" s="11" t="str">
        <f t="shared" si="28"/>
        <v>2F</v>
      </c>
      <c r="F585" s="12" t="s">
        <v>803</v>
      </c>
      <c r="G585" s="11" t="str">
        <f t="shared" si="29"/>
        <v>05・2FA-1</v>
      </c>
      <c r="H585" s="3"/>
    </row>
    <row r="586" spans="1:8" ht="15" customHeight="1" x14ac:dyDescent="0.2">
      <c r="A586" s="10" t="s">
        <v>679</v>
      </c>
      <c r="B586" s="10" t="str">
        <f>IFERROR(
    INDEX([1]FSHIP!B:B,MATCH(A586,[1]FSHIP!A:A,0)),
    IFERROR(
        INDEX([1]釣具商品ship!B:B,MATCH(A586,[1]釣具商品ship!A:A,0)),
        IFERROR(
            INDEX([1]玩具商品ship!B:B,MATCH(A586,[1]玩具商品ship!A:A,0)),
            IFERROR(
                INDEX([1]OEMship!B:B,MATCH(A586,[1]OEMship!A:A,0)),
                IFERROR(
                    INDEX([1]NV6ship!B:B,MATCH(A586,[1]NV6ship!A:A,0)),
                    IFERROR(
                        INDEX([1]NVship!B:B,MATCH(A586,[1]NVship!A:A,0)),
                        IFERROR(
                            INDEX([1]海ship!B:B,MATCH(A586,[1]海ship!A:A,0)),
                            IFERROR(
                                INDEX([1]ｾﾚship!B:B,MATCH(A586,[1]ｾﾚship!A:A,0)),
                                IFERROR(
                                    INDEX([1]ｾﾚﾓﾆｰ商品ship!B:B,MATCH(A586,[1]ｾﾚﾓﾆｰ商品ship!A:A,0)),
                                    INDEX([2]NV!D:D,MATCH(A586,[2]NV!C:C,0))
                                )
                            )
                        )
                    )
                )
            )
        )
    )
)</f>
        <v>ふしぎな実験ｷｯﾄ4個ｾｯﾄA(新日本造形様)</v>
      </c>
      <c r="C586" s="4" t="s">
        <v>680</v>
      </c>
      <c r="D586" s="4" t="str">
        <f t="shared" si="27"/>
        <v>ふしぎな実験ｷｯﾄ4個ｾｯﾄA(新日本造形様) ｜ 1Fノベルティ【03】 ｜ N-1</v>
      </c>
      <c r="E586" s="11" t="str">
        <f t="shared" si="28"/>
        <v>1Fノベルティ</v>
      </c>
      <c r="F586" s="12" t="s">
        <v>681</v>
      </c>
      <c r="G586" s="11" t="str">
        <f t="shared" si="29"/>
        <v>03・1FノベルティN-1</v>
      </c>
      <c r="H586" s="3"/>
    </row>
    <row r="587" spans="1:8" ht="15" customHeight="1" x14ac:dyDescent="0.2">
      <c r="A587" s="10" t="s">
        <v>678</v>
      </c>
      <c r="B587" s="10" t="str">
        <f>IFERROR(
    INDEX([1]FSHIP!B:B,MATCH(A587,[1]FSHIP!A:A,0)),
    IFERROR(
        INDEX([1]釣具商品ship!B:B,MATCH(A587,[1]釣具商品ship!A:A,0)),
        IFERROR(
            INDEX([1]玩具商品ship!B:B,MATCH(A587,[1]玩具商品ship!A:A,0)),
            IFERROR(
                INDEX([1]OEMship!B:B,MATCH(A587,[1]OEMship!A:A,0)),
                IFERROR(
                    INDEX([1]NV6ship!B:B,MATCH(A587,[1]NV6ship!A:A,0)),
                    IFERROR(
                        INDEX([1]NVship!B:B,MATCH(A587,[1]NVship!A:A,0)),
                        IFERROR(
                            INDEX([1]海ship!B:B,MATCH(A587,[1]海ship!A:A,0)),
                            IFERROR(
                                INDEX([1]ｾﾚship!B:B,MATCH(A587,[1]ｾﾚship!A:A,0)),
                                IFERROR(
                                    INDEX([1]ｾﾚﾓﾆｰ商品ship!B:B,MATCH(A587,[1]ｾﾚﾓﾆｰ商品ship!A:A,0)),
                                    INDEX([2]NV!D:D,MATCH(A587,[2]NV!C:C,0))
                                )
                            )
                        )
                    )
                )
            )
        )
    )
)</f>
        <v>ふしぎな実験ｷｯﾄ4個ｾｯﾄB(新日本造形様)</v>
      </c>
      <c r="C587" s="4" t="s">
        <v>680</v>
      </c>
      <c r="D587" s="4" t="str">
        <f t="shared" si="27"/>
        <v>ふしぎな実験ｷｯﾄ4個ｾｯﾄB(新日本造形様) ｜ 1Fノベルティ【03】 ｜ N-1</v>
      </c>
      <c r="E587" s="11" t="str">
        <f t="shared" si="28"/>
        <v>1Fノベルティ</v>
      </c>
      <c r="F587" s="12" t="s">
        <v>681</v>
      </c>
      <c r="G587" s="11" t="str">
        <f t="shared" si="29"/>
        <v>03・1FノベルティN-1</v>
      </c>
      <c r="H587" s="3"/>
    </row>
    <row r="588" spans="1:8" ht="15" customHeight="1" x14ac:dyDescent="0.2">
      <c r="A588" s="14" t="s">
        <v>695</v>
      </c>
      <c r="B588" s="10" t="str">
        <f>IFERROR(
    INDEX([1]FSHIP!B:B,MATCH(A588,[1]FSHIP!A:A,0)),
    IFERROR(
        INDEX([1]釣具商品ship!B:B,MATCH(A588,[1]釣具商品ship!A:A,0)),
        IFERROR(
            INDEX([1]玩具商品ship!B:B,MATCH(A588,[1]玩具商品ship!A:A,0)),
            IFERROR(
                INDEX([1]OEMship!B:B,MATCH(A588,[1]OEMship!A:A,0)),
                IFERROR(
                    INDEX([1]NV6ship!B:B,MATCH(A588,[1]NV6ship!A:A,0)),
                    IFERROR(
                        INDEX([1]NVship!B:B,MATCH(A588,[1]NVship!A:A,0)),
                        IFERROR(
                            INDEX([1]海ship!B:B,MATCH(A588,[1]海ship!A:A,0)),
                            IFERROR(
                                INDEX([1]ｾﾚship!B:B,MATCH(A588,[1]ｾﾚship!A:A,0)),
                                IFERROR(
                                    INDEX([1]ｾﾚﾓﾆｰ商品ship!B:B,MATCH(A588,[1]ｾﾚﾓﾆｰ商品ship!A:A,0)),
                                    INDEX([2]NV!D:D,MATCH(A588,[2]NV!C:C,0))
                                )
                            )
                        )
                    )
                )
            )
        )
    )
)</f>
        <v>大麻チェッカー</v>
      </c>
      <c r="C588" s="16" t="s">
        <v>696</v>
      </c>
      <c r="D588" s="4" t="str">
        <f t="shared" si="27"/>
        <v>大麻チェッカー ｜ 1Fノベルティ【03】 ｜ J-1</v>
      </c>
      <c r="E588" s="11" t="str">
        <f t="shared" si="28"/>
        <v>1Fノベルティ</v>
      </c>
      <c r="F588" s="12" t="s">
        <v>694</v>
      </c>
      <c r="G588" s="11" t="str">
        <f t="shared" si="29"/>
        <v>03・1FノベルティJ-1</v>
      </c>
      <c r="H588" s="3"/>
    </row>
    <row r="589" spans="1:8" ht="15" customHeight="1" x14ac:dyDescent="0.2">
      <c r="A589" s="10" t="s">
        <v>470</v>
      </c>
      <c r="B589" s="10" t="str">
        <f>IFERROR(
    INDEX([1]FSHIP!B:B,MATCH(A589,[1]FSHIP!A:A,0)),
    IFERROR(
        INDEX([1]釣具商品ship!B:B,MATCH(A589,[1]釣具商品ship!A:A,0)),
        IFERROR(
            INDEX([1]玩具商品ship!B:B,MATCH(A589,[1]玩具商品ship!A:A,0)),
            IFERROR(
                INDEX([1]OEMship!B:B,MATCH(A589,[1]OEMship!A:A,0)),
                IFERROR(
                    INDEX([1]NV6ship!B:B,MATCH(A589,[1]NV6ship!A:A,0)),
                    IFERROR(
                        INDEX([1]NVship!B:B,MATCH(A589,[1]NVship!A:A,0)),
                        IFERROR(
                            INDEX([1]海ship!B:B,MATCH(A589,[1]海ship!A:A,0)),
                            IFERROR(
                                INDEX([1]ｾﾚship!B:B,MATCH(A589,[1]ｾﾚship!A:A,0)),
                                IFERROR(
                                    INDEX([1]ｾﾚﾓﾆｰ商品ship!B:B,MATCH(A589,[1]ｾﾚﾓﾆｰ商品ship!A:A,0)),
                                    INDEX([2]NV!D:D,MATCH(A589,[2]NV!C:C,0))
                                )
                            )
                        )
                    )
                )
            )
        )
    )
)</f>
        <v>防災用簡易ライト（イエロー）</v>
      </c>
      <c r="C589" s="4" t="s">
        <v>472</v>
      </c>
      <c r="D589" s="10" t="str">
        <f t="shared" si="27"/>
        <v>防災用簡易ライト（イエロー） ｜ 1Fノベルティ【03】 ｜ A-1</v>
      </c>
      <c r="E589" s="11" t="str">
        <f t="shared" si="28"/>
        <v>1Fノベルティ</v>
      </c>
      <c r="F589" s="12" t="s">
        <v>367</v>
      </c>
      <c r="G589" s="11" t="str">
        <f t="shared" si="29"/>
        <v>03・1FノベルティA-1</v>
      </c>
      <c r="H589" s="3"/>
    </row>
    <row r="590" spans="1:8" ht="15" customHeight="1" x14ac:dyDescent="0.2">
      <c r="A590" s="10" t="s">
        <v>471</v>
      </c>
      <c r="B590" s="10" t="str">
        <f>IFERROR(
    INDEX([1]FSHIP!B:B,MATCH(A590,[1]FSHIP!A:A,0)),
    IFERROR(
        INDEX([1]釣具商品ship!B:B,MATCH(A590,[1]釣具商品ship!A:A,0)),
        IFERROR(
            INDEX([1]玩具商品ship!B:B,MATCH(A590,[1]玩具商品ship!A:A,0)),
            IFERROR(
                INDEX([1]OEMship!B:B,MATCH(A590,[1]OEMship!A:A,0)),
                IFERROR(
                    INDEX([1]NV6ship!B:B,MATCH(A590,[1]NV6ship!A:A,0)),
                    IFERROR(
                        INDEX([1]NVship!B:B,MATCH(A590,[1]NVship!A:A,0)),
                        IFERROR(
                            INDEX([1]海ship!B:B,MATCH(A590,[1]海ship!A:A,0)),
                            IFERROR(
                                INDEX([1]ｾﾚship!B:B,MATCH(A590,[1]ｾﾚship!A:A,0)),
                                IFERROR(
                                    INDEX([1]ｾﾚﾓﾆｰ商品ship!B:B,MATCH(A590,[1]ｾﾚﾓﾆｰ商品ship!A:A,0)),
                                    INDEX([2]NV!D:D,MATCH(A590,[2]NV!C:C,0))
                                )
                            )
                        )
                    )
                )
            )
        )
    )
)</f>
        <v>防災用簡易ﾗｲﾄ ﾊﾞﾘｭｰﾊﾟｯｸ(ｲｴﾛｰ)</v>
      </c>
      <c r="C590" s="4" t="s">
        <v>472</v>
      </c>
      <c r="D590" s="10" t="str">
        <f t="shared" si="27"/>
        <v>防災用簡易ﾗｲﾄ ﾊﾞﾘｭｰﾊﾟｯｸ(ｲｴﾛｰ) ｜ 1Fノベルティ【03】 ｜ A-1</v>
      </c>
      <c r="E590" s="11" t="str">
        <f t="shared" si="28"/>
        <v>1Fノベルティ</v>
      </c>
      <c r="F590" s="12" t="s">
        <v>367</v>
      </c>
      <c r="G590" s="11" t="str">
        <f t="shared" si="29"/>
        <v>03・1FノベルティA-1</v>
      </c>
      <c r="H590" s="3"/>
    </row>
    <row r="591" spans="1:8" ht="15" customHeight="1" x14ac:dyDescent="0.2">
      <c r="A591" s="10" t="s">
        <v>608</v>
      </c>
      <c r="B591" s="10" t="str">
        <f>IFERROR(
    INDEX([1]FSHIP!B:B,MATCH(A591,[1]FSHIP!A:A,0)),
    IFERROR(
        INDEX([1]釣具商品ship!B:B,MATCH(A591,[1]釣具商品ship!A:A,0)),
        IFERROR(
            INDEX([1]玩具商品ship!B:B,MATCH(A591,[1]玩具商品ship!A:A,0)),
            IFERROR(
                INDEX([1]OEMship!B:B,MATCH(A591,[1]OEMship!A:A,0)),
                IFERROR(
                    INDEX([1]NV6ship!B:B,MATCH(A591,[1]NV6ship!A:A,0)),
                    IFERROR(
                        INDEX([1]NVship!B:B,MATCH(A591,[1]NVship!A:A,0)),
                        IFERROR(
                            INDEX([1]海ship!B:B,MATCH(A591,[1]海ship!A:A,0)),
                            IFERROR(
                                INDEX([1]ｾﾚship!B:B,MATCH(A591,[1]ｾﾚship!A:A,0)),
                                IFERROR(
                                    INDEX([1]ｾﾚﾓﾆｰ商品ship!B:B,MATCH(A591,[1]ｾﾚﾓﾆｰ商品ship!A:A,0)),
                                    INDEX([2]NV!D:D,MATCH(A591,[2]NV!C:C,0))
                                )
                            )
                        )
                    )
                )
            )
        )
    )
)</f>
        <v>災害備蓄用ルミカライト24本入</v>
      </c>
      <c r="C591" s="4" t="s">
        <v>606</v>
      </c>
      <c r="D591" s="4" t="str">
        <f t="shared" si="27"/>
        <v>災害備蓄用ルミカライト24本入 ｜ 資材倉庫・Irod【11】 ｜ A-1</v>
      </c>
      <c r="E591" s="11" t="str">
        <f t="shared" si="28"/>
        <v>資材倉庫・Irod</v>
      </c>
      <c r="F591" s="12" t="s">
        <v>572</v>
      </c>
      <c r="G591" s="11" t="str">
        <f t="shared" si="29"/>
        <v>11・資材倉庫・IrodA-1</v>
      </c>
      <c r="H591" s="3"/>
    </row>
    <row r="592" spans="1:8" ht="15" customHeight="1" x14ac:dyDescent="0.2">
      <c r="A592" s="10" t="s">
        <v>533</v>
      </c>
      <c r="B592" s="10" t="str">
        <f>IFERROR(
    INDEX([1]FSHIP!B:B,MATCH(A592,[1]FSHIP!A:A,0)),
    IFERROR(
        INDEX([1]釣具商品ship!B:B,MATCH(A592,[1]釣具商品ship!A:A,0)),
        IFERROR(
            INDEX([1]玩具商品ship!B:B,MATCH(A592,[1]玩具商品ship!A:A,0)),
            IFERROR(
                INDEX([1]OEMship!B:B,MATCH(A592,[1]OEMship!A:A,0)),
                IFERROR(
                    INDEX([1]NV6ship!B:B,MATCH(A592,[1]NV6ship!A:A,0)),
                    IFERROR(
                        INDEX([1]NVship!B:B,MATCH(A592,[1]NVship!A:A,0)),
                        IFERROR(
                            INDEX([1]海ship!B:B,MATCH(A592,[1]海ship!A:A,0)),
                            IFERROR(
                                INDEX([1]ｾﾚship!B:B,MATCH(A592,[1]ｾﾚship!A:A,0)),
                                IFERROR(
                                    INDEX([1]ｾﾚﾓﾆｰ商品ship!B:B,MATCH(A592,[1]ｾﾚﾓﾆｰ商品ship!A:A,0)),
                                    INDEX([2]NV!D:D,MATCH(A592,[2]NV!C:C,0))
                                )
                            )
                        )
                    )
                )
            )
        )
    )
)</f>
        <v>災害備蓄用ライト　48時間</v>
      </c>
      <c r="C592" s="4" t="s">
        <v>536</v>
      </c>
      <c r="D592" s="4" t="str">
        <f t="shared" si="27"/>
        <v>災害備蓄用ライト　48時間 ｜ 資材倉庫・ノベルティ【10】 ｜ R-1</v>
      </c>
      <c r="E592" s="11" t="str">
        <f t="shared" si="28"/>
        <v>資材倉庫・ノベルティ</v>
      </c>
      <c r="F592" s="12" t="s">
        <v>477</v>
      </c>
      <c r="G592" s="11" t="str">
        <f t="shared" si="29"/>
        <v>10・資材倉庫・ノベルティR-1</v>
      </c>
      <c r="H592" s="3"/>
    </row>
    <row r="593" spans="1:8" ht="15" customHeight="1" x14ac:dyDescent="0.2">
      <c r="A593" s="10" t="s">
        <v>692</v>
      </c>
      <c r="B593" s="10" t="str">
        <f>IFERROR(
    INDEX([1]FSHIP!B:B,MATCH(A593,[1]FSHIP!A:A,0)),
    IFERROR(
        INDEX([1]釣具商品ship!B:B,MATCH(A593,[1]釣具商品ship!A:A,0)),
        IFERROR(
            INDEX([1]玩具商品ship!B:B,MATCH(A593,[1]玩具商品ship!A:A,0)),
            IFERROR(
                INDEX([1]OEMship!B:B,MATCH(A593,[1]OEMship!A:A,0)),
                IFERROR(
                    INDEX([1]NV6ship!B:B,MATCH(A593,[1]NV6ship!A:A,0)),
                    IFERROR(
                        INDEX([1]NVship!B:B,MATCH(A593,[1]NVship!A:A,0)),
                        IFERROR(
                            INDEX([1]海ship!B:B,MATCH(A593,[1]海ship!A:A,0)),
                            IFERROR(
                                INDEX([1]ｾﾚship!B:B,MATCH(A593,[1]ｾﾚship!A:A,0)),
                                IFERROR(
                                    INDEX([1]ｾﾚﾓﾆｰ商品ship!B:B,MATCH(A593,[1]ｾﾚﾓﾆｰ商品ship!A:A,0)),
                                    INDEX([2]NV!D:D,MATCH(A593,[2]NV!C:C,0))
                                )
                            )
                        )
                    )
                )
            )
        )
    )
)</f>
        <v>充電式ツーウェイランタン　ホワイト</v>
      </c>
      <c r="C593" s="4" t="s">
        <v>693</v>
      </c>
      <c r="D593" s="4" t="str">
        <f t="shared" si="27"/>
        <v>充電式ツーウェイランタン　ホワイト ｜ 1Fノベルティ【03】 ｜ C-1</v>
      </c>
      <c r="E593" s="11" t="str">
        <f t="shared" si="28"/>
        <v>1Fノベルティ</v>
      </c>
      <c r="F593" s="12" t="s">
        <v>694</v>
      </c>
      <c r="G593" s="11" t="str">
        <f t="shared" si="29"/>
        <v>03・1FノベルティC-1</v>
      </c>
      <c r="H593" s="3"/>
    </row>
    <row r="594" spans="1:8" ht="15" customHeight="1" x14ac:dyDescent="0.2">
      <c r="A594" s="14" t="s">
        <v>738</v>
      </c>
      <c r="B594" s="10" t="str">
        <f>IFERROR(
    INDEX([1]FSHIP!B:B,MATCH(A594,[1]FSHIP!A:A,0)),
    IFERROR(
        INDEX([1]釣具商品ship!B:B,MATCH(A594,[1]釣具商品ship!A:A,0)),
        IFERROR(
            INDEX([1]玩具商品ship!B:B,MATCH(A594,[1]玩具商品ship!A:A,0)),
            IFERROR(
                INDEX([1]OEMship!B:B,MATCH(A594,[1]OEMship!A:A,0)),
                IFERROR(
                    INDEX([1]NV6ship!B:B,MATCH(A594,[1]NV6ship!A:A,0)),
                    IFERROR(
                        INDEX([1]NVship!B:B,MATCH(A594,[1]NVship!A:A,0)),
                        IFERROR(
                            INDEX([1]海ship!B:B,MATCH(A594,[1]海ship!A:A,0)),
                            IFERROR(
                                INDEX([1]ｾﾚship!B:B,MATCH(A594,[1]ｾﾚship!A:A,0)),
                                IFERROR(
                                    INDEX([1]ｾﾚﾓﾆｰ商品ship!B:B,MATCH(A594,[1]ｾﾚﾓﾆｰ商品ship!A:A,0)),
                                    INDEX([2]NV!D:D,MATCH(A594,[2]NV!C:C,0))
                                )
                            )
                        )
                    )
                )
            )
        )
    )
)</f>
        <v>非常用お助けｶｰﾄﾞ(ｽﾄﾗｯﾌﾟ＆ｹｰｽ付き）</v>
      </c>
      <c r="C594" s="16" t="s">
        <v>729</v>
      </c>
      <c r="D594" s="4" t="str">
        <f t="shared" si="27"/>
        <v>非常用お助けｶｰﾄﾞ(ｽﾄﾗｯﾌﾟ＆ｹｰｽ付き） ｜ 1Fノベルティ【03】 ｜ C-1</v>
      </c>
      <c r="E594" s="11" t="str">
        <f t="shared" si="28"/>
        <v>1Fノベルティ</v>
      </c>
      <c r="F594" s="12" t="s">
        <v>744</v>
      </c>
      <c r="G594" s="11" t="str">
        <f t="shared" si="29"/>
        <v>03・1FノベルティC-1</v>
      </c>
      <c r="H594" s="3"/>
    </row>
    <row r="595" spans="1:8" ht="15" customHeight="1" x14ac:dyDescent="0.2">
      <c r="A595" s="14" t="s">
        <v>735</v>
      </c>
      <c r="B595" s="10" t="str">
        <f>IFERROR(
    INDEX([1]FSHIP!B:B,MATCH(A595,[1]FSHIP!A:A,0)),
    IFERROR(
        INDEX([1]釣具商品ship!B:B,MATCH(A595,[1]釣具商品ship!A:A,0)),
        IFERROR(
            INDEX([1]玩具商品ship!B:B,MATCH(A595,[1]玩具商品ship!A:A,0)),
            IFERROR(
                INDEX([1]OEMship!B:B,MATCH(A595,[1]OEMship!A:A,0)),
                IFERROR(
                    INDEX([1]NV6ship!B:B,MATCH(A595,[1]NV6ship!A:A,0)),
                    IFERROR(
                        INDEX([1]NVship!B:B,MATCH(A595,[1]NVship!A:A,0)),
                        IFERROR(
                            INDEX([1]海ship!B:B,MATCH(A595,[1]海ship!A:A,0)),
                            IFERROR(
                                INDEX([1]ｾﾚship!B:B,MATCH(A595,[1]ｾﾚship!A:A,0)),
                                IFERROR(
                                    INDEX([1]ｾﾚﾓﾆｰ商品ship!B:B,MATCH(A595,[1]ｾﾚﾓﾆｰ商品ship!A:A,0)),
                                    INDEX([2]NV!D:D,MATCH(A595,[2]NV!C:C,0))
                                )
                            )
                        )
                    )
                )
            )
        )
    )
)</f>
        <v>非常用お助けｶｰﾄﾞ　10枚ｾｯﾄ</v>
      </c>
      <c r="C595" s="16" t="s">
        <v>729</v>
      </c>
      <c r="D595" s="4" t="str">
        <f t="shared" si="27"/>
        <v>非常用お助けｶｰﾄﾞ　10枚ｾｯﾄ ｜ 1Fノベルティ【03】 ｜ C-1</v>
      </c>
      <c r="E595" s="11" t="str">
        <f t="shared" si="28"/>
        <v>1Fノベルティ</v>
      </c>
      <c r="F595" s="12" t="s">
        <v>744</v>
      </c>
      <c r="G595" s="11" t="str">
        <f t="shared" si="29"/>
        <v>03・1FノベルティC-1</v>
      </c>
      <c r="H595" s="3"/>
    </row>
    <row r="596" spans="1:8" ht="15" customHeight="1" x14ac:dyDescent="0.2">
      <c r="A596" s="14" t="s">
        <v>798</v>
      </c>
      <c r="B596" s="10" t="str">
        <f>IFERROR(
    INDEX([1]FSHIP!B:B,MATCH(A596,[1]FSHIP!A:A,0)),
    IFERROR(
        INDEX([1]釣具商品ship!B:B,MATCH(A596,[1]釣具商品ship!A:A,0)),
        IFERROR(
            INDEX([1]玩具商品ship!B:B,MATCH(A596,[1]玩具商品ship!A:A,0)),
            IFERROR(
                INDEX([1]OEMship!B:B,MATCH(A596,[1]OEMship!A:A,0)),
                IFERROR(
                    INDEX([1]NV6ship!B:B,MATCH(A596,[1]NV6ship!A:A,0)),
                    IFERROR(
                        INDEX([1]NVship!B:B,MATCH(A596,[1]NVship!A:A,0)),
                        IFERROR(
                            INDEX([1]海ship!B:B,MATCH(A596,[1]海ship!A:A,0)),
                            IFERROR(
                                INDEX([1]ｾﾚship!B:B,MATCH(A596,[1]ｾﾚship!A:A,0)),
                                IFERROR(
                                    INDEX([1]ｾﾚﾓﾆｰ商品ship!B:B,MATCH(A596,[1]ｾﾚﾓﾆｰ商品ship!A:A,0)),
                                    INDEX([2]NV!D:D,MATCH(A596,[2]NV!C:C,0))
                                )
                            )
                        )
                    )
                )
            )
        )
    )
)</f>
        <v>ｻｲﾘｭｰﾑﾍﾟｲﾝﾄ用ﾚｯｸﾞﾎﾙｽﾀｰ</v>
      </c>
      <c r="C596" s="16" t="s">
        <v>799</v>
      </c>
      <c r="D596" s="4" t="str">
        <f t="shared" si="27"/>
        <v>ｻｲﾘｭｰﾑﾍﾟｲﾝﾄ用ﾚｯｸﾞﾎﾙｽﾀｰ ｜ 資材倉庫・2F【X99】 ｜ 2F</v>
      </c>
      <c r="E596" s="11" t="str">
        <f t="shared" si="28"/>
        <v>資材倉庫・2F</v>
      </c>
      <c r="F596" s="12" t="s">
        <v>748</v>
      </c>
      <c r="G596" s="11" t="str">
        <f t="shared" si="29"/>
        <v>X99・資材倉庫・2F2F</v>
      </c>
      <c r="H596" s="3"/>
    </row>
    <row r="597" spans="1:8" ht="15" customHeight="1" x14ac:dyDescent="0.2">
      <c r="A597" s="10" t="s">
        <v>534</v>
      </c>
      <c r="B597" s="10" t="str">
        <f>IFERROR(
    INDEX([1]FSHIP!B:B,MATCH(A597,[1]FSHIP!A:A,0)),
    IFERROR(
        INDEX([1]釣具商品ship!B:B,MATCH(A597,[1]釣具商品ship!A:A,0)),
        IFERROR(
            INDEX([1]玩具商品ship!B:B,MATCH(A597,[1]玩具商品ship!A:A,0)),
            IFERROR(
                INDEX([1]OEMship!B:B,MATCH(A597,[1]OEMship!A:A,0)),
                IFERROR(
                    INDEX([1]NV6ship!B:B,MATCH(A597,[1]NV6ship!A:A,0)),
                    IFERROR(
                        INDEX([1]NVship!B:B,MATCH(A597,[1]NVship!A:A,0)),
                        IFERROR(
                            INDEX([1]海ship!B:B,MATCH(A597,[1]海ship!A:A,0)),
                            IFERROR(
                                INDEX([1]ｾﾚship!B:B,MATCH(A597,[1]ｾﾚship!A:A,0)),
                                IFERROR(
                                    INDEX([1]ｾﾚﾓﾆｰ商品ship!B:B,MATCH(A597,[1]ｾﾚﾓﾆｰ商品ship!A:A,0)),
                                    INDEX([2]NV!D:D,MATCH(A597,[2]NV!C:C,0))
                                )
                            )
                        )
                    )
                )
            )
        )
    )
)</f>
        <v>虫よけミスト</v>
      </c>
      <c r="C597" s="4" t="s">
        <v>536</v>
      </c>
      <c r="D597" s="4" t="str">
        <f t="shared" si="27"/>
        <v>虫よけミスト ｜ 資材倉庫・ノベルティ【10】 ｜ R-1</v>
      </c>
      <c r="E597" s="11" t="str">
        <f t="shared" si="28"/>
        <v>資材倉庫・ノベルティ</v>
      </c>
      <c r="F597" s="12" t="s">
        <v>477</v>
      </c>
      <c r="G597" s="11" t="str">
        <f t="shared" si="29"/>
        <v>10・資材倉庫・ノベルティR-1</v>
      </c>
      <c r="H597" s="3"/>
    </row>
    <row r="598" spans="1:8" ht="15" customHeight="1" x14ac:dyDescent="0.2">
      <c r="A598" s="14" t="s">
        <v>846</v>
      </c>
      <c r="B598" s="10" t="str">
        <f>IFERROR(
    INDEX([1]FSHIP!B:B,MATCH(A598,[1]FSHIP!A:A,0)),
    IFERROR(
        INDEX([1]釣具商品ship!B:B,MATCH(A598,[1]釣具商品ship!A:A,0)),
        IFERROR(
            INDEX([1]玩具商品ship!B:B,MATCH(A598,[1]玩具商品ship!A:A,0)),
            IFERROR(
                INDEX([1]OEMship!B:B,MATCH(A598,[1]OEMship!A:A,0)),
                IFERROR(
                    INDEX([1]NV6ship!B:B,MATCH(A598,[1]NV6ship!A:A,0)),
                    IFERROR(
                        INDEX([1]NVship!B:B,MATCH(A598,[1]NVship!A:A,0)),
                        IFERROR(
                            INDEX([1]海ship!B:B,MATCH(A598,[1]海ship!A:A,0)),
                            IFERROR(
                                INDEX([1]ｾﾚship!B:B,MATCH(A598,[1]ｾﾚship!A:A,0)),
                                IFERROR(
                                    INDEX([1]ｾﾚﾓﾆｰ商品ship!B:B,MATCH(A598,[1]ｾﾚﾓﾆｰ商品ship!A:A,0)),
                                    INDEX([2]NV!D:D,MATCH(A598,[2]NV!C:C,0))
                                )
                            )
                        )
                    )
                )
            )
        )
    )
)</f>
        <v>業務用二酸化塩素香 POWER 6inch(10)</v>
      </c>
      <c r="C598" s="16" t="s">
        <v>802</v>
      </c>
      <c r="D598" s="4" t="str">
        <f t="shared" si="27"/>
        <v>業務用二酸化塩素香 POWER 6inch(10) ｜ 2F【05】 ｜ A-1</v>
      </c>
      <c r="E598" s="11" t="str">
        <f t="shared" si="28"/>
        <v>2F</v>
      </c>
      <c r="F598" s="12" t="s">
        <v>803</v>
      </c>
      <c r="G598" s="11" t="str">
        <f t="shared" si="29"/>
        <v>05・2FA-1</v>
      </c>
      <c r="H598" s="3"/>
    </row>
    <row r="599" spans="1:8" ht="15" customHeight="1" x14ac:dyDescent="0.2">
      <c r="A599" s="14" t="s">
        <v>903</v>
      </c>
      <c r="B599" s="10" t="str">
        <f>IFERROR(
    INDEX([1]FSHIP!B:B,MATCH(A599,[1]FSHIP!A:A,0)),
    IFERROR(
        INDEX([1]釣具商品ship!B:B,MATCH(A599,[1]釣具商品ship!A:A,0)),
        IFERROR(
            INDEX([1]玩具商品ship!B:B,MATCH(A599,[1]玩具商品ship!A:A,0)),
            IFERROR(
                INDEX([1]OEMship!B:B,MATCH(A599,[1]OEMship!A:A,0)),
                IFERROR(
                    INDEX([1]NV6ship!B:B,MATCH(A599,[1]NV6ship!A:A,0)),
                    IFERROR(
                        INDEX([1]NVship!B:B,MATCH(A599,[1]NVship!A:A,0)),
                        IFERROR(
                            INDEX([1]海ship!B:B,MATCH(A599,[1]海ship!A:A,0)),
                            IFERROR(
                                INDEX([1]ｾﾚship!B:B,MATCH(A599,[1]ｾﾚship!A:A,0)),
                                IFERROR(
                                    INDEX([1]ｾﾚﾓﾆｰ商品ship!B:B,MATCH(A599,[1]ｾﾚﾓﾆｰ商品ship!A:A,0)),
                                    INDEX([2]NV!D:D,MATCH(A599,[2]NV!C:C,0))
                                )
                            )
                        )
                    )
                )
            )
        )
    )
)</f>
        <v>二酸化塩素香 POWER BRACE</v>
      </c>
      <c r="C599" s="16" t="s">
        <v>848</v>
      </c>
      <c r="D599" s="4" t="str">
        <f t="shared" si="27"/>
        <v>二酸化塩素香 POWER BRACE ｜ 2F【05】 ｜ B-1</v>
      </c>
      <c r="E599" s="11" t="str">
        <f t="shared" si="28"/>
        <v>2F</v>
      </c>
      <c r="F599" s="12" t="s">
        <v>803</v>
      </c>
      <c r="G599" s="11" t="str">
        <f t="shared" si="29"/>
        <v>05・2FB-1</v>
      </c>
      <c r="H599" s="3"/>
    </row>
    <row r="600" spans="1:8" ht="15" customHeight="1" x14ac:dyDescent="0.2">
      <c r="A600" s="14" t="s">
        <v>739</v>
      </c>
      <c r="B600" s="10" t="str">
        <f>IFERROR(
    INDEX([1]FSHIP!B:B,MATCH(A600,[1]FSHIP!A:A,0)),
    IFERROR(
        INDEX([1]釣具商品ship!B:B,MATCH(A600,[1]釣具商品ship!A:A,0)),
        IFERROR(
            INDEX([1]玩具商品ship!B:B,MATCH(A600,[1]玩具商品ship!A:A,0)),
            IFERROR(
                INDEX([1]OEMship!B:B,MATCH(A600,[1]OEMship!A:A,0)),
                IFERROR(
                    INDEX([1]NV6ship!B:B,MATCH(A600,[1]NV6ship!A:A,0)),
                    IFERROR(
                        INDEX([1]NVship!B:B,MATCH(A600,[1]NVship!A:A,0)),
                        IFERROR(
                            INDEX([1]海ship!B:B,MATCH(A600,[1]海ship!A:A,0)),
                            IFERROR(
                                INDEX([1]ｾﾚship!B:B,MATCH(A600,[1]ｾﾚship!A:A,0)),
                                IFERROR(
                                    INDEX([1]ｾﾚﾓﾆｰ商品ship!B:B,MATCH(A600,[1]ｾﾚﾓﾆｰ商品ship!A:A,0)),
                                    INDEX([2]NV!D:D,MATCH(A600,[2]NV!C:C,0))
                                )
                            )
                        )
                    )
                )
            )
        )
    )
)</f>
        <v>二酸化塩素香 POWER SPRAY-W</v>
      </c>
      <c r="C600" s="16" t="s">
        <v>729</v>
      </c>
      <c r="D600" s="4" t="str">
        <f t="shared" si="27"/>
        <v>二酸化塩素香 POWER SPRAY-W ｜ 1Fノベルティ【03】 ｜ C-1</v>
      </c>
      <c r="E600" s="11" t="str">
        <f t="shared" si="28"/>
        <v>1Fノベルティ</v>
      </c>
      <c r="F600" s="12" t="s">
        <v>744</v>
      </c>
      <c r="G600" s="11" t="str">
        <f t="shared" si="29"/>
        <v>03・1FノベルティC-1</v>
      </c>
      <c r="H600" s="3"/>
    </row>
    <row r="601" spans="1:8" ht="15" customHeight="1" x14ac:dyDescent="0.2">
      <c r="A601" s="14" t="s">
        <v>843</v>
      </c>
      <c r="B601" s="10" t="str">
        <f>IFERROR(
    INDEX([1]FSHIP!B:B,MATCH(A601,[1]FSHIP!A:A,0)),
    IFERROR(
        INDEX([1]釣具商品ship!B:B,MATCH(A601,[1]釣具商品ship!A:A,0)),
        IFERROR(
            INDEX([1]玩具商品ship!B:B,MATCH(A601,[1]玩具商品ship!A:A,0)),
            IFERROR(
                INDEX([1]OEMship!B:B,MATCH(A601,[1]OEMship!A:A,0)),
                IFERROR(
                    INDEX([1]NV6ship!B:B,MATCH(A601,[1]NV6ship!A:A,0)),
                    IFERROR(
                        INDEX([1]NVship!B:B,MATCH(A601,[1]NVship!A:A,0)),
                        IFERROR(
                            INDEX([1]海ship!B:B,MATCH(A601,[1]海ship!A:A,0)),
                            IFERROR(
                                INDEX([1]ｾﾚship!B:B,MATCH(A601,[1]ｾﾚship!A:A,0)),
                                IFERROR(
                                    INDEX([1]ｾﾚﾓﾆｰ商品ship!B:B,MATCH(A601,[1]ｾﾚﾓﾆｰ商品ship!A:A,0)),
                                    INDEX([2]NV!D:D,MATCH(A601,[2]NV!C:C,0))
                                )
                            )
                        )
                    )
                )
            )
        )
    )
)</f>
        <v>二酸化塩素香 POWER 6inch</v>
      </c>
      <c r="C601" s="16" t="s">
        <v>802</v>
      </c>
      <c r="D601" s="4" t="str">
        <f t="shared" si="27"/>
        <v>二酸化塩素香 POWER 6inch ｜ 2F【05】 ｜ A-1</v>
      </c>
      <c r="E601" s="11" t="str">
        <f t="shared" si="28"/>
        <v>2F</v>
      </c>
      <c r="F601" s="12" t="s">
        <v>803</v>
      </c>
      <c r="G601" s="11" t="str">
        <f t="shared" si="29"/>
        <v>05・2FA-1</v>
      </c>
      <c r="H601" s="3"/>
    </row>
    <row r="602" spans="1:8" ht="15" customHeight="1" x14ac:dyDescent="0.2">
      <c r="A602" s="14" t="s">
        <v>905</v>
      </c>
      <c r="B602" s="10" t="str">
        <f>IFERROR(
    INDEX([1]FSHIP!B:B,MATCH(A602,[1]FSHIP!A:A,0)),
    IFERROR(
        INDEX([1]釣具商品ship!B:B,MATCH(A602,[1]釣具商品ship!A:A,0)),
        IFERROR(
            INDEX([1]玩具商品ship!B:B,MATCH(A602,[1]玩具商品ship!A:A,0)),
            IFERROR(
                INDEX([1]OEMship!B:B,MATCH(A602,[1]OEMship!A:A,0)),
                IFERROR(
                    INDEX([1]NV6ship!B:B,MATCH(A602,[1]NV6ship!A:A,0)),
                    IFERROR(
                        INDEX([1]NVship!B:B,MATCH(A602,[1]NVship!A:A,0)),
                        IFERROR(
                            INDEX([1]海ship!B:B,MATCH(A602,[1]海ship!A:A,0)),
                            IFERROR(
                                INDEX([1]ｾﾚship!B:B,MATCH(A602,[1]ｾﾚship!A:A,0)),
                                IFERROR(
                                    INDEX([1]ｾﾚﾓﾆｰ商品ship!B:B,MATCH(A602,[1]ｾﾚﾓﾆｰ商品ship!A:A,0)),
                                    INDEX([2]NV!D:D,MATCH(A602,[2]NV!C:C,0))
                                )
                            )
                        )
                    )
                )
            )
        )
    )
)</f>
        <v>業務用二酸化塩素香 ﾌﾞﾚｽｽﾃｨｯｸ(50)</v>
      </c>
      <c r="C602" s="16" t="s">
        <v>848</v>
      </c>
      <c r="D602" s="4" t="str">
        <f t="shared" si="27"/>
        <v>業務用二酸化塩素香 ﾌﾞﾚｽｽﾃｨｯｸ(50) ｜ 2F【05】 ｜ B-1</v>
      </c>
      <c r="E602" s="11" t="str">
        <f t="shared" si="28"/>
        <v>2F</v>
      </c>
      <c r="F602" s="12" t="s">
        <v>803</v>
      </c>
      <c r="G602" s="11" t="str">
        <f t="shared" si="29"/>
        <v>05・2FB-1</v>
      </c>
      <c r="H602" s="3"/>
    </row>
    <row r="603" spans="1:8" ht="15" customHeight="1" x14ac:dyDescent="0.2">
      <c r="A603" s="14" t="s">
        <v>904</v>
      </c>
      <c r="B603" s="10" t="str">
        <f>IFERROR(
    INDEX([1]FSHIP!B:B,MATCH(A603,[1]FSHIP!A:A,0)),
    IFERROR(
        INDEX([1]釣具商品ship!B:B,MATCH(A603,[1]釣具商品ship!A:A,0)),
        IFERROR(
            INDEX([1]玩具商品ship!B:B,MATCH(A603,[1]玩具商品ship!A:A,0)),
            IFERROR(
                INDEX([1]OEMship!B:B,MATCH(A603,[1]OEMship!A:A,0)),
                IFERROR(
                    INDEX([1]NV6ship!B:B,MATCH(A603,[1]NV6ship!A:A,0)),
                    IFERROR(
                        INDEX([1]NVship!B:B,MATCH(A603,[1]NVship!A:A,0)),
                        IFERROR(
                            INDEX([1]海ship!B:B,MATCH(A603,[1]海ship!A:A,0)),
                            IFERROR(
                                INDEX([1]ｾﾚship!B:B,MATCH(A603,[1]ｾﾚship!A:A,0)),
                                IFERROR(
                                    INDEX([1]ｾﾚﾓﾆｰ商品ship!B:B,MATCH(A603,[1]ｾﾚﾓﾆｰ商品ship!A:A,0)),
                                    INDEX([2]NV!D:D,MATCH(A603,[2]NV!C:C,0))
                                )
                            )
                        )
                    )
                )
            )
        )
    )
)</f>
        <v>業務用二酸化塩素香 ﾌﾞﾚｽﾎﾙﾀﾞｰ(R)(50)</v>
      </c>
      <c r="C603" s="16" t="s">
        <v>848</v>
      </c>
      <c r="D603" s="4" t="str">
        <f t="shared" si="27"/>
        <v>業務用二酸化塩素香 ﾌﾞﾚｽﾎﾙﾀﾞｰ(R)(50) ｜ 2F【05】 ｜ B-1</v>
      </c>
      <c r="E603" s="11" t="str">
        <f t="shared" si="28"/>
        <v>2F</v>
      </c>
      <c r="F603" s="12" t="s">
        <v>803</v>
      </c>
      <c r="G603" s="11" t="str">
        <f t="shared" si="29"/>
        <v>05・2FB-1</v>
      </c>
      <c r="H603" s="3"/>
    </row>
    <row r="604" spans="1:8" ht="15" customHeight="1" x14ac:dyDescent="0.2">
      <c r="A604" s="14" t="s">
        <v>845</v>
      </c>
      <c r="B604" s="10" t="str">
        <f>IFERROR(
    INDEX([1]FSHIP!B:B,MATCH(A604,[1]FSHIP!A:A,0)),
    IFERROR(
        INDEX([1]釣具商品ship!B:B,MATCH(A604,[1]釣具商品ship!A:A,0)),
        IFERROR(
            INDEX([1]玩具商品ship!B:B,MATCH(A604,[1]玩具商品ship!A:A,0)),
            IFERROR(
                INDEX([1]OEMship!B:B,MATCH(A604,[1]OEMship!A:A,0)),
                IFERROR(
                    INDEX([1]NV6ship!B:B,MATCH(A604,[1]NV6ship!A:A,0)),
                    IFERROR(
                        INDEX([1]NVship!B:B,MATCH(A604,[1]NVship!A:A,0)),
                        IFERROR(
                            INDEX([1]海ship!B:B,MATCH(A604,[1]海ship!A:A,0)),
                            IFERROR(
                                INDEX([1]ｾﾚship!B:B,MATCH(A604,[1]ｾﾚship!A:A,0)),
                                IFERROR(
                                    INDEX([1]ｾﾚﾓﾆｰ商品ship!B:B,MATCH(A604,[1]ｾﾚﾓﾆｰ商品ship!A:A,0)),
                                    INDEX([2]NV!D:D,MATCH(A604,[2]NV!C:C,0))
                                )
                            )
                        )
                    )
                )
            )
        )
    )
)</f>
        <v>CLO2 PURESOLUTION MAKER</v>
      </c>
      <c r="C604" s="16" t="s">
        <v>802</v>
      </c>
      <c r="D604" s="4" t="str">
        <f t="shared" si="27"/>
        <v>CLO2 PURESOLUTION MAKER ｜ 2F【05】 ｜ A-1</v>
      </c>
      <c r="E604" s="11" t="str">
        <f t="shared" si="28"/>
        <v>2F</v>
      </c>
      <c r="F604" s="12" t="s">
        <v>803</v>
      </c>
      <c r="G604" s="11" t="str">
        <f t="shared" si="29"/>
        <v>05・2FA-1</v>
      </c>
      <c r="H604" s="3"/>
    </row>
    <row r="605" spans="1:8" ht="15" customHeight="1" x14ac:dyDescent="0.2">
      <c r="A605" s="14" t="s">
        <v>847</v>
      </c>
      <c r="B605" s="10" t="str">
        <f>IFERROR(
    INDEX([1]FSHIP!B:B,MATCH(A605,[1]FSHIP!A:A,0)),
    IFERROR(
        INDEX([1]釣具商品ship!B:B,MATCH(A605,[1]釣具商品ship!A:A,0)),
        IFERROR(
            INDEX([1]玩具商品ship!B:B,MATCH(A605,[1]玩具商品ship!A:A,0)),
            IFERROR(
                INDEX([1]OEMship!B:B,MATCH(A605,[1]OEMship!A:A,0)),
                IFERROR(
                    INDEX([1]NV6ship!B:B,MATCH(A605,[1]NV6ship!A:A,0)),
                    IFERROR(
                        INDEX([1]NVship!B:B,MATCH(A605,[1]NVship!A:A,0)),
                        IFERROR(
                            INDEX([1]海ship!B:B,MATCH(A605,[1]海ship!A:A,0)),
                            IFERROR(
                                INDEX([1]ｾﾚship!B:B,MATCH(A605,[1]ｾﾚship!A:A,0)),
                                IFERROR(
                                    INDEX([1]ｾﾚﾓﾆｰ商品ship!B:B,MATCH(A605,[1]ｾﾚﾓﾆｰ商品ship!A:A,0)),
                                    INDEX([2]NV!D:D,MATCH(A605,[2]NV!C:C,0))
                                )
                            )
                        )
                    )
                )
            )
        )
    )
)</f>
        <v>CLO2 POWER MIST 100</v>
      </c>
      <c r="C605" s="16" t="s">
        <v>802</v>
      </c>
      <c r="D605" s="4" t="str">
        <f t="shared" si="27"/>
        <v>CLO2 POWER MIST 100 ｜ 2F【05】 ｜ A-1</v>
      </c>
      <c r="E605" s="11" t="str">
        <f t="shared" si="28"/>
        <v>2F</v>
      </c>
      <c r="F605" s="12" t="s">
        <v>803</v>
      </c>
      <c r="G605" s="11" t="str">
        <f t="shared" si="29"/>
        <v>05・2FA-1</v>
      </c>
      <c r="H605" s="3"/>
    </row>
    <row r="606" spans="1:8" ht="15" customHeight="1" x14ac:dyDescent="0.2">
      <c r="A606" s="14" t="s">
        <v>906</v>
      </c>
      <c r="B606" s="10" t="str">
        <f>IFERROR(
    INDEX([1]FSHIP!B:B,MATCH(A606,[1]FSHIP!A:A,0)),
    IFERROR(
        INDEX([1]釣具商品ship!B:B,MATCH(A606,[1]釣具商品ship!A:A,0)),
        IFERROR(
            INDEX([1]玩具商品ship!B:B,MATCH(A606,[1]玩具商品ship!A:A,0)),
            IFERROR(
                INDEX([1]OEMship!B:B,MATCH(A606,[1]OEMship!A:A,0)),
                IFERROR(
                    INDEX([1]NV6ship!B:B,MATCH(A606,[1]NV6ship!A:A,0)),
                    IFERROR(
                        INDEX([1]NVship!B:B,MATCH(A606,[1]NVship!A:A,0)),
                        IFERROR(
                            INDEX([1]海ship!B:B,MATCH(A606,[1]海ship!A:A,0)),
                            IFERROR(
                                INDEX([1]ｾﾚship!B:B,MATCH(A606,[1]ｾﾚship!A:A,0)),
                                IFERROR(
                                    INDEX([1]ｾﾚﾓﾆｰ商品ship!B:B,MATCH(A606,[1]ｾﾚﾓﾆｰ商品ship!A:A,0)),
                                    INDEX([2]NV!D:D,MATCH(A606,[2]NV!C:C,0))
                                )
                            )
                        )
                    )
                )
            )
        )
    )
)</f>
        <v>BUBCLO2 HOME</v>
      </c>
      <c r="C606" s="16" t="s">
        <v>848</v>
      </c>
      <c r="D606" s="4" t="str">
        <f t="shared" si="27"/>
        <v>BUBCLO2 HOME ｜ 2F【05】 ｜ B-1</v>
      </c>
      <c r="E606" s="11" t="str">
        <f t="shared" si="28"/>
        <v>2F</v>
      </c>
      <c r="F606" s="12" t="s">
        <v>803</v>
      </c>
      <c r="G606" s="11" t="str">
        <f t="shared" si="29"/>
        <v>05・2FB-1</v>
      </c>
      <c r="H606" s="3"/>
    </row>
    <row r="607" spans="1:8" ht="15" customHeight="1" x14ac:dyDescent="0.2">
      <c r="A607" s="14" t="s">
        <v>844</v>
      </c>
      <c r="B607" s="10" t="str">
        <f>IFERROR(
    INDEX([1]FSHIP!B:B,MATCH(A607,[1]FSHIP!A:A,0)),
    IFERROR(
        INDEX([1]釣具商品ship!B:B,MATCH(A607,[1]釣具商品ship!A:A,0)),
        IFERROR(
            INDEX([1]玩具商品ship!B:B,MATCH(A607,[1]玩具商品ship!A:A,0)),
            IFERROR(
                INDEX([1]OEMship!B:B,MATCH(A607,[1]OEMship!A:A,0)),
                IFERROR(
                    INDEX([1]NV6ship!B:B,MATCH(A607,[1]NV6ship!A:A,0)),
                    IFERROR(
                        INDEX([1]NVship!B:B,MATCH(A607,[1]NVship!A:A,0)),
                        IFERROR(
                            INDEX([1]海ship!B:B,MATCH(A607,[1]海ship!A:A,0)),
                            IFERROR(
                                INDEX([1]ｾﾚship!B:B,MATCH(A607,[1]ｾﾚship!A:A,0)),
                                IFERROR(
                                    INDEX([1]ｾﾚﾓﾆｰ商品ship!B:B,MATCH(A607,[1]ｾﾚﾓﾆｰ商品ship!A:A,0)),
                                    INDEX([2]NV!D:D,MATCH(A607,[2]NV!C:C,0))
                                )
                            )
                        )
                    )
                )
            )
        )
    )
)</f>
        <v>ClO2センサー</v>
      </c>
      <c r="C607" s="16" t="s">
        <v>802</v>
      </c>
      <c r="D607" s="4" t="str">
        <f t="shared" si="27"/>
        <v>ClO2センサー ｜ 2F【05】 ｜ A-1</v>
      </c>
      <c r="E607" s="11" t="str">
        <f t="shared" si="28"/>
        <v>2F</v>
      </c>
      <c r="F607" s="12" t="s">
        <v>803</v>
      </c>
      <c r="G607" s="11" t="str">
        <f t="shared" si="29"/>
        <v>05・2FA-1</v>
      </c>
      <c r="H607" s="3"/>
    </row>
    <row r="608" spans="1:8" ht="15" customHeight="1" x14ac:dyDescent="0.2">
      <c r="A608" s="14" t="s">
        <v>842</v>
      </c>
      <c r="B608" s="10" t="str">
        <f>IFERROR(
    INDEX([1]FSHIP!B:B,MATCH(A608,[1]FSHIP!A:A,0)),
    IFERROR(
        INDEX([1]釣具商品ship!B:B,MATCH(A608,[1]釣具商品ship!A:A,0)),
        IFERROR(
            INDEX([1]玩具商品ship!B:B,MATCH(A608,[1]玩具商品ship!A:A,0)),
            IFERROR(
                INDEX([1]OEMship!B:B,MATCH(A608,[1]OEMship!A:A,0)),
                IFERROR(
                    INDEX([1]NV6ship!B:B,MATCH(A608,[1]NV6ship!A:A,0)),
                    IFERROR(
                        INDEX([1]NVship!B:B,MATCH(A608,[1]NVship!A:A,0)),
                        IFERROR(
                            INDEX([1]海ship!B:B,MATCH(A608,[1]海ship!A:A,0)),
                            IFERROR(
                                INDEX([1]ｾﾚship!B:B,MATCH(A608,[1]ｾﾚship!A:A,0)),
                                IFERROR(
                                    INDEX([1]ｾﾚﾓﾆｰ商品ship!B:B,MATCH(A608,[1]ｾﾚﾓﾆｰ商品ship!A:A,0)),
                                    INDEX([2]NV!D:D,MATCH(A608,[2]NV!C:C,0))
                                )
                            )
                        )
                    )
                )
            )
        )
    )
)</f>
        <v>BUBCLO2 専用トレー</v>
      </c>
      <c r="C608" s="16" t="s">
        <v>802</v>
      </c>
      <c r="D608" s="4" t="str">
        <f t="shared" si="27"/>
        <v>BUBCLO2 専用トレー ｜ 2F【05】 ｜ A-1</v>
      </c>
      <c r="E608" s="11" t="str">
        <f t="shared" si="28"/>
        <v>2F</v>
      </c>
      <c r="F608" s="12" t="s">
        <v>803</v>
      </c>
      <c r="G608" s="11" t="str">
        <f t="shared" si="29"/>
        <v>05・2FA-1</v>
      </c>
      <c r="H608" s="3"/>
    </row>
    <row r="609" spans="1:8" ht="15" customHeight="1" x14ac:dyDescent="0.2">
      <c r="A609" s="10" t="s">
        <v>635</v>
      </c>
      <c r="B609" s="10" t="str">
        <f>IFERROR(
    INDEX([1]FSHIP!B:B,MATCH(A609,[1]FSHIP!A:A,0)),
    IFERROR(
        INDEX([1]釣具商品ship!B:B,MATCH(A609,[1]釣具商品ship!A:A,0)),
        IFERROR(
            INDEX([1]玩具商品ship!B:B,MATCH(A609,[1]玩具商品ship!A:A,0)),
            IFERROR(
                INDEX([1]OEMship!B:B,MATCH(A609,[1]OEMship!A:A,0)),
                IFERROR(
                    INDEX([1]NV6ship!B:B,MATCH(A609,[1]NV6ship!A:A,0)),
                    IFERROR(
                        INDEX([1]NVship!B:B,MATCH(A609,[1]NVship!A:A,0)),
                        IFERROR(
                            INDEX([1]海ship!B:B,MATCH(A609,[1]海ship!A:A,0)),
                            IFERROR(
                                INDEX([1]ｾﾚship!B:B,MATCH(A609,[1]ｾﾚship!A:A,0)),
                                IFERROR(
                                    INDEX([1]ｾﾚﾓﾆｰ商品ship!B:B,MATCH(A609,[1]ｾﾚﾓﾆｰ商品ship!A:A,0)),
                                    INDEX([2]NV!D:D,MATCH(A609,[2]NV!C:C,0))
                                )
                            )
                        )
                    )
                )
            )
        )
    )
)</f>
        <v>ﾙﾐｶﾗｲﾄ3ｲﾝﾁ　黄　(OEM)</v>
      </c>
      <c r="C609" s="4" t="s">
        <v>472</v>
      </c>
      <c r="D609" s="10" t="str">
        <f t="shared" si="27"/>
        <v>ﾙﾐｶﾗｲﾄ3ｲﾝﾁ　黄　(OEM) ｜ 資材倉庫・ノベルティ【10】 ｜ A-1</v>
      </c>
      <c r="E609" s="11" t="str">
        <f t="shared" si="28"/>
        <v>資材倉庫・ノベルティ</v>
      </c>
      <c r="F609" s="12" t="s">
        <v>674</v>
      </c>
      <c r="G609" s="11" t="str">
        <f t="shared" si="29"/>
        <v>10・資材倉庫・ノベルティA-1</v>
      </c>
      <c r="H609" s="3"/>
    </row>
    <row r="610" spans="1:8" ht="15" customHeight="1" x14ac:dyDescent="0.2">
      <c r="A610" s="14" t="s">
        <v>750</v>
      </c>
      <c r="B610" s="10" t="str">
        <f>IFERROR(
    INDEX([1]FSHIP!B:B,MATCH(A610,[1]FSHIP!A:A,0)),
    IFERROR(
        INDEX([1]釣具商品ship!B:B,MATCH(A610,[1]釣具商品ship!A:A,0)),
        IFERROR(
            INDEX([1]玩具商品ship!B:B,MATCH(A610,[1]玩具商品ship!A:A,0)),
            IFERROR(
                INDEX([1]OEMship!B:B,MATCH(A610,[1]OEMship!A:A,0)),
                IFERROR(
                    INDEX([1]NV6ship!B:B,MATCH(A610,[1]NV6ship!A:A,0)),
                    IFERROR(
                        INDEX([1]NVship!B:B,MATCH(A610,[1]NVship!A:A,0)),
                        IFERROR(
                            INDEX([1]海ship!B:B,MATCH(A610,[1]海ship!A:A,0)),
                            IFERROR(
                                INDEX([1]ｾﾚship!B:B,MATCH(A610,[1]ｾﾚship!A:A,0)),
                                IFERROR(
                                    INDEX([1]ｾﾚﾓﾆｰ商品ship!B:B,MATCH(A610,[1]ｾﾚﾓﾆｰ商品ship!A:A,0)),
                                    INDEX([2]NV!D:D,MATCH(A610,[2]NV!C:C,0))
                                )
                            )
                        )
                    )
                )
            )
        )
    )
)</f>
        <v>備蓄用ウェットボディタオル</v>
      </c>
      <c r="C610" s="16" t="s">
        <v>799</v>
      </c>
      <c r="D610" s="4" t="str">
        <f t="shared" si="27"/>
        <v>備蓄用ウェットボディタオル ｜ 資材倉庫・2F【X99】 ｜ 2F</v>
      </c>
      <c r="E610" s="11" t="str">
        <f t="shared" si="28"/>
        <v>資材倉庫・2F</v>
      </c>
      <c r="F610" s="12" t="s">
        <v>748</v>
      </c>
      <c r="G610" s="11" t="str">
        <f t="shared" si="29"/>
        <v>X99・資材倉庫・2F2F</v>
      </c>
      <c r="H610" s="3"/>
    </row>
    <row r="611" spans="1:8" ht="15" customHeight="1" x14ac:dyDescent="0.2">
      <c r="A611" s="14" t="s">
        <v>751</v>
      </c>
      <c r="B611" s="10" t="str">
        <f>IFERROR(
    INDEX([1]FSHIP!B:B,MATCH(A611,[1]FSHIP!A:A,0)),
    IFERROR(
        INDEX([1]釣具商品ship!B:B,MATCH(A611,[1]釣具商品ship!A:A,0)),
        IFERROR(
            INDEX([1]玩具商品ship!B:B,MATCH(A611,[1]玩具商品ship!A:A,0)),
            IFERROR(
                INDEX([1]OEMship!B:B,MATCH(A611,[1]OEMship!A:A,0)),
                IFERROR(
                    INDEX([1]NV6ship!B:B,MATCH(A611,[1]NV6ship!A:A,0)),
                    IFERROR(
                        INDEX([1]NVship!B:B,MATCH(A611,[1]NVship!A:A,0)),
                        IFERROR(
                            INDEX([1]海ship!B:B,MATCH(A611,[1]海ship!A:A,0)),
                            IFERROR(
                                INDEX([1]ｾﾚship!B:B,MATCH(A611,[1]ｾﾚship!A:A,0)),
                                IFERROR(
                                    INDEX([1]ｾﾚﾓﾆｰ商品ship!B:B,MATCH(A611,[1]ｾﾚﾓﾆｰ商品ship!A:A,0)),
                                    INDEX([2]NV!D:D,MATCH(A611,[2]NV!C:C,0))
                                )
                            )
                        )
                    )
                )
            )
        )
    )
)</f>
        <v>045s PUSH TYPE ターコイズ・金・紐</v>
      </c>
      <c r="C611" s="16" t="s">
        <v>799</v>
      </c>
      <c r="D611" s="4" t="str">
        <f t="shared" si="27"/>
        <v>045s PUSH TYPE ターコイズ・金・紐 ｜ 資材倉庫・2F【X99】 ｜ 2F</v>
      </c>
      <c r="E611" s="11" t="str">
        <f t="shared" si="28"/>
        <v>資材倉庫・2F</v>
      </c>
      <c r="F611" s="12" t="s">
        <v>748</v>
      </c>
      <c r="G611" s="11" t="str">
        <f t="shared" si="29"/>
        <v>X99・資材倉庫・2F2F</v>
      </c>
      <c r="H611" s="3"/>
    </row>
    <row r="612" spans="1:8" ht="15" customHeight="1" x14ac:dyDescent="0.2">
      <c r="A612" s="14" t="s">
        <v>752</v>
      </c>
      <c r="B612" s="10" t="str">
        <f>IFERROR(
    INDEX([1]FSHIP!B:B,MATCH(A612,[1]FSHIP!A:A,0)),
    IFERROR(
        INDEX([1]釣具商品ship!B:B,MATCH(A612,[1]釣具商品ship!A:A,0)),
        IFERROR(
            INDEX([1]玩具商品ship!B:B,MATCH(A612,[1]玩具商品ship!A:A,0)),
            IFERROR(
                INDEX([1]OEMship!B:B,MATCH(A612,[1]OEMship!A:A,0)),
                IFERROR(
                    INDEX([1]NV6ship!B:B,MATCH(A612,[1]NV6ship!A:A,0)),
                    IFERROR(
                        INDEX([1]NVship!B:B,MATCH(A612,[1]NVship!A:A,0)),
                        IFERROR(
                            INDEX([1]海ship!B:B,MATCH(A612,[1]海ship!A:A,0)),
                            IFERROR(
                                INDEX([1]ｾﾚship!B:B,MATCH(A612,[1]ｾﾚship!A:A,0)),
                                IFERROR(
                                    INDEX([1]ｾﾚﾓﾆｰ商品ship!B:B,MATCH(A612,[1]ｾﾚﾓﾆｰ商品ship!A:A,0)),
                                    INDEX([2]NV!D:D,MATCH(A612,[2]NV!C:C,0))
                                )
                            )
                        )
                    )
                )
            )
        )
    )
)</f>
        <v>045w PUSH TYPE ﾀｰｺｲｽﾞ・SUS素地・ﾜｲﾔｰ</v>
      </c>
      <c r="C612" s="16" t="s">
        <v>799</v>
      </c>
      <c r="D612" s="4" t="str">
        <f t="shared" si="27"/>
        <v>045w PUSH TYPE ﾀｰｺｲｽﾞ・SUS素地・ﾜｲﾔｰ ｜ 資材倉庫・2F【X99】 ｜ 2F</v>
      </c>
      <c r="E612" s="11" t="str">
        <f t="shared" si="28"/>
        <v>資材倉庫・2F</v>
      </c>
      <c r="F612" s="12" t="s">
        <v>748</v>
      </c>
      <c r="G612" s="11" t="str">
        <f t="shared" si="29"/>
        <v>X99・資材倉庫・2F2F</v>
      </c>
      <c r="H612" s="3"/>
    </row>
    <row r="613" spans="1:8" ht="15" customHeight="1" x14ac:dyDescent="0.2">
      <c r="A613" s="10" t="s">
        <v>535</v>
      </c>
      <c r="B613" s="10" t="str">
        <f>IFERROR(
    INDEX([1]FSHIP!B:B,MATCH(A613,[1]FSHIP!A:A,0)),
    IFERROR(
        INDEX([1]釣具商品ship!B:B,MATCH(A613,[1]釣具商品ship!A:A,0)),
        IFERROR(
            INDEX([1]玩具商品ship!B:B,MATCH(A613,[1]玩具商品ship!A:A,0)),
            IFERROR(
                INDEX([1]OEMship!B:B,MATCH(A613,[1]OEMship!A:A,0)),
                IFERROR(
                    INDEX([1]NV6ship!B:B,MATCH(A613,[1]NV6ship!A:A,0)),
                    IFERROR(
                        INDEX([1]NVship!B:B,MATCH(A613,[1]NVship!A:A,0)),
                        IFERROR(
                            INDEX([1]海ship!B:B,MATCH(A613,[1]海ship!A:A,0)),
                            IFERROR(
                                INDEX([1]ｾﾚship!B:B,MATCH(A613,[1]ｾﾚship!A:A,0)),
                                IFERROR(
                                    INDEX([1]ｾﾚﾓﾆｰ商品ship!B:B,MATCH(A613,[1]ｾﾚﾓﾆｰ商品ship!A:A,0)),
                                    INDEX([2]NV!D:D,MATCH(A613,[2]NV!C:C,0))
                                )
                            )
                        )
                    )
                )
            )
        )
    )
)</f>
        <v>6"Light Stick infra Red(8Hours)</v>
      </c>
      <c r="C613" s="4" t="s">
        <v>536</v>
      </c>
      <c r="D613" s="4" t="str">
        <f t="shared" si="27"/>
        <v>6"Light Stick infra Red(8Hours) ｜ 資材倉庫・ノベルティ【10】 ｜ R-1</v>
      </c>
      <c r="E613" s="11" t="str">
        <f t="shared" si="28"/>
        <v>資材倉庫・ノベルティ</v>
      </c>
      <c r="F613" s="12" t="s">
        <v>477</v>
      </c>
      <c r="G613" s="11" t="str">
        <f t="shared" si="29"/>
        <v>10・資材倉庫・ノベルティR-1</v>
      </c>
      <c r="H613" s="3"/>
    </row>
    <row r="614" spans="1:8" ht="15" customHeight="1" x14ac:dyDescent="0.2">
      <c r="A614" s="14" t="s">
        <v>753</v>
      </c>
      <c r="B614" s="10" t="str">
        <f>IFERROR(
    INDEX([1]FSHIP!B:B,MATCH(A614,[1]FSHIP!A:A,0)),
    IFERROR(
        INDEX([1]釣具商品ship!B:B,MATCH(A614,[1]釣具商品ship!A:A,0)),
        IFERROR(
            INDEX([1]玩具商品ship!B:B,MATCH(A614,[1]玩具商品ship!A:A,0)),
            IFERROR(
                INDEX([1]OEMship!B:B,MATCH(A614,[1]OEMship!A:A,0)),
                IFERROR(
                    INDEX([1]NV6ship!B:B,MATCH(A614,[1]NV6ship!A:A,0)),
                    IFERROR(
                        INDEX([1]NVship!B:B,MATCH(A614,[1]NVship!A:A,0)),
                        IFERROR(
                            INDEX([1]海ship!B:B,MATCH(A614,[1]海ship!A:A,0)),
                            IFERROR(
                                INDEX([1]ｾﾚship!B:B,MATCH(A614,[1]ｾﾚship!A:A,0)),
                                IFERROR(
                                    INDEX([1]ｾﾚﾓﾆｰ商品ship!B:B,MATCH(A614,[1]ｾﾚﾓﾆｰ商品ship!A:A,0)),
                                    INDEX([2]NV!D:D,MATCH(A614,[2]NV!C:C,0))
                                )
                            )
                        )
                    )
                )
            )
        )
    )
)</f>
        <v>ｶﾗﾋﾞﾅ付ｱｸｽﾀｹｰｽ(ﾚｯﾄﾞ)</v>
      </c>
      <c r="C614" s="16" t="s">
        <v>799</v>
      </c>
      <c r="D614" s="4" t="str">
        <f t="shared" si="27"/>
        <v>ｶﾗﾋﾞﾅ付ｱｸｽﾀｹｰｽ(ﾚｯﾄﾞ) ｜ 資材倉庫・2F【X99】 ｜ 2F</v>
      </c>
      <c r="E614" s="11" t="str">
        <f t="shared" si="28"/>
        <v>資材倉庫・2F</v>
      </c>
      <c r="F614" s="12" t="s">
        <v>748</v>
      </c>
      <c r="G614" s="11" t="str">
        <f t="shared" si="29"/>
        <v>X99・資材倉庫・2F2F</v>
      </c>
      <c r="H614" s="3"/>
    </row>
    <row r="615" spans="1:8" ht="15" customHeight="1" x14ac:dyDescent="0.2">
      <c r="A615" s="14" t="s">
        <v>754</v>
      </c>
      <c r="B615" s="10" t="str">
        <f>IFERROR(
    INDEX([1]FSHIP!B:B,MATCH(A615,[1]FSHIP!A:A,0)),
    IFERROR(
        INDEX([1]釣具商品ship!B:B,MATCH(A615,[1]釣具商品ship!A:A,0)),
        IFERROR(
            INDEX([1]玩具商品ship!B:B,MATCH(A615,[1]玩具商品ship!A:A,0)),
            IFERROR(
                INDEX([1]OEMship!B:B,MATCH(A615,[1]OEMship!A:A,0)),
                IFERROR(
                    INDEX([1]NV6ship!B:B,MATCH(A615,[1]NV6ship!A:A,0)),
                    IFERROR(
                        INDEX([1]NVship!B:B,MATCH(A615,[1]NVship!A:A,0)),
                        IFERROR(
                            INDEX([1]海ship!B:B,MATCH(A615,[1]海ship!A:A,0)),
                            IFERROR(
                                INDEX([1]ｾﾚship!B:B,MATCH(A615,[1]ｾﾚship!A:A,0)),
                                IFERROR(
                                    INDEX([1]ｾﾚﾓﾆｰ商品ship!B:B,MATCH(A615,[1]ｾﾚﾓﾆｰ商品ship!A:A,0)),
                                    INDEX([2]NV!D:D,MATCH(A615,[2]NV!C:C,0))
                                )
                            )
                        )
                    )
                )
            )
        )
    )
)</f>
        <v>ｶﾗﾋﾞﾅ付ｱｸｽﾀｹｰｽ(ﾌﾞﾙｰ)</v>
      </c>
      <c r="C615" s="16" t="s">
        <v>799</v>
      </c>
      <c r="D615" s="4" t="str">
        <f t="shared" si="27"/>
        <v>ｶﾗﾋﾞﾅ付ｱｸｽﾀｹｰｽ(ﾌﾞﾙｰ) ｜ 資材倉庫・2F【X99】 ｜ 2F</v>
      </c>
      <c r="E615" s="11" t="str">
        <f t="shared" si="28"/>
        <v>資材倉庫・2F</v>
      </c>
      <c r="F615" s="12" t="s">
        <v>748</v>
      </c>
      <c r="G615" s="11" t="str">
        <f t="shared" si="29"/>
        <v>X99・資材倉庫・2F2F</v>
      </c>
      <c r="H615" s="3"/>
    </row>
    <row r="616" spans="1:8" ht="15" customHeight="1" x14ac:dyDescent="0.2">
      <c r="A616" s="14" t="s">
        <v>755</v>
      </c>
      <c r="B616" s="10" t="str">
        <f>IFERROR(
    INDEX([1]FSHIP!B:B,MATCH(A616,[1]FSHIP!A:A,0)),
    IFERROR(
        INDEX([1]釣具商品ship!B:B,MATCH(A616,[1]釣具商品ship!A:A,0)),
        IFERROR(
            INDEX([1]玩具商品ship!B:B,MATCH(A616,[1]玩具商品ship!A:A,0)),
            IFERROR(
                INDEX([1]OEMship!B:B,MATCH(A616,[1]OEMship!A:A,0)),
                IFERROR(
                    INDEX([1]NV6ship!B:B,MATCH(A616,[1]NV6ship!A:A,0)),
                    IFERROR(
                        INDEX([1]NVship!B:B,MATCH(A616,[1]NVship!A:A,0)),
                        IFERROR(
                            INDEX([1]海ship!B:B,MATCH(A616,[1]海ship!A:A,0)),
                            IFERROR(
                                INDEX([1]ｾﾚship!B:B,MATCH(A616,[1]ｾﾚship!A:A,0)),
                                IFERROR(
                                    INDEX([1]ｾﾚﾓﾆｰ商品ship!B:B,MATCH(A616,[1]ｾﾚﾓﾆｰ商品ship!A:A,0)),
                                    INDEX([2]NV!D:D,MATCH(A616,[2]NV!C:C,0))
                                )
                            )
                        )
                    )
                )
            )
        )
    )
)</f>
        <v>ｶﾗﾋﾞﾅ付ｱｸｽﾀｹｰｽ(ｸﾞﾘｰﾝ)</v>
      </c>
      <c r="C616" s="16" t="s">
        <v>799</v>
      </c>
      <c r="D616" s="4" t="str">
        <f t="shared" si="27"/>
        <v>ｶﾗﾋﾞﾅ付ｱｸｽﾀｹｰｽ(ｸﾞﾘｰﾝ) ｜ 資材倉庫・2F【X99】 ｜ 2F</v>
      </c>
      <c r="E616" s="11" t="str">
        <f t="shared" si="28"/>
        <v>資材倉庫・2F</v>
      </c>
      <c r="F616" s="12" t="s">
        <v>748</v>
      </c>
      <c r="G616" s="11" t="str">
        <f t="shared" si="29"/>
        <v>X99・資材倉庫・2F2F</v>
      </c>
      <c r="H616" s="3"/>
    </row>
    <row r="617" spans="1:8" ht="15" customHeight="1" x14ac:dyDescent="0.2">
      <c r="A617" s="14" t="s">
        <v>756</v>
      </c>
      <c r="B617" s="10" t="str">
        <f>IFERROR(
    INDEX([1]FSHIP!B:B,MATCH(A617,[1]FSHIP!A:A,0)),
    IFERROR(
        INDEX([1]釣具商品ship!B:B,MATCH(A617,[1]釣具商品ship!A:A,0)),
        IFERROR(
            INDEX([1]玩具商品ship!B:B,MATCH(A617,[1]玩具商品ship!A:A,0)),
            IFERROR(
                INDEX([1]OEMship!B:B,MATCH(A617,[1]OEMship!A:A,0)),
                IFERROR(
                    INDEX([1]NV6ship!B:B,MATCH(A617,[1]NV6ship!A:A,0)),
                    IFERROR(
                        INDEX([1]NVship!B:B,MATCH(A617,[1]NVship!A:A,0)),
                        IFERROR(
                            INDEX([1]海ship!B:B,MATCH(A617,[1]海ship!A:A,0)),
                            IFERROR(
                                INDEX([1]ｾﾚship!B:B,MATCH(A617,[1]ｾﾚship!A:A,0)),
                                IFERROR(
                                    INDEX([1]ｾﾚﾓﾆｰ商品ship!B:B,MATCH(A617,[1]ｾﾚﾓﾆｰ商品ship!A:A,0)),
                                    INDEX([2]NV!D:D,MATCH(A617,[2]NV!C:C,0))
                                )
                            )
                        )
                    )
                )
            )
        )
    )
)</f>
        <v>ｶﾗﾋﾞﾅ付ｱｸｽﾀｹｰｽ(ｵﾚﾝｼﾞ)</v>
      </c>
      <c r="C617" s="16" t="s">
        <v>799</v>
      </c>
      <c r="D617" s="4" t="str">
        <f t="shared" si="27"/>
        <v>ｶﾗﾋﾞﾅ付ｱｸｽﾀｹｰｽ(ｵﾚﾝｼﾞ) ｜ 資材倉庫・2F【X99】 ｜ 2F</v>
      </c>
      <c r="E617" s="11" t="str">
        <f t="shared" si="28"/>
        <v>資材倉庫・2F</v>
      </c>
      <c r="F617" s="12" t="s">
        <v>748</v>
      </c>
      <c r="G617" s="11" t="str">
        <f t="shared" si="29"/>
        <v>X99・資材倉庫・2F2F</v>
      </c>
      <c r="H617" s="3"/>
    </row>
    <row r="618" spans="1:8" ht="15" customHeight="1" x14ac:dyDescent="0.2">
      <c r="A618" s="14" t="s">
        <v>757</v>
      </c>
      <c r="B618" s="10" t="str">
        <f>IFERROR(
    INDEX([1]FSHIP!B:B,MATCH(A618,[1]FSHIP!A:A,0)),
    IFERROR(
        INDEX([1]釣具商品ship!B:B,MATCH(A618,[1]釣具商品ship!A:A,0)),
        IFERROR(
            INDEX([1]玩具商品ship!B:B,MATCH(A618,[1]玩具商品ship!A:A,0)),
            IFERROR(
                INDEX([1]OEMship!B:B,MATCH(A618,[1]OEMship!A:A,0)),
                IFERROR(
                    INDEX([1]NV6ship!B:B,MATCH(A618,[1]NV6ship!A:A,0)),
                    IFERROR(
                        INDEX([1]NVship!B:B,MATCH(A618,[1]NVship!A:A,0)),
                        IFERROR(
                            INDEX([1]海ship!B:B,MATCH(A618,[1]海ship!A:A,0)),
                            IFERROR(
                                INDEX([1]ｾﾚship!B:B,MATCH(A618,[1]ｾﾚship!A:A,0)),
                                IFERROR(
                                    INDEX([1]ｾﾚﾓﾆｰ商品ship!B:B,MATCH(A618,[1]ｾﾚﾓﾆｰ商品ship!A:A,0)),
                                    INDEX([2]NV!D:D,MATCH(A618,[2]NV!C:C,0))
                                )
                            )
                        )
                    )
                )
            )
        )
    )
)</f>
        <v>ｶﾗﾋﾞﾅ付ｱｸｽﾀｹｰｽ(ﾌﾞﾗｯｸ)</v>
      </c>
      <c r="C618" s="16" t="s">
        <v>799</v>
      </c>
      <c r="D618" s="4" t="str">
        <f t="shared" si="27"/>
        <v>ｶﾗﾋﾞﾅ付ｱｸｽﾀｹｰｽ(ﾌﾞﾗｯｸ) ｜ 資材倉庫・2F【X99】 ｜ 2F</v>
      </c>
      <c r="E618" s="11" t="str">
        <f t="shared" si="28"/>
        <v>資材倉庫・2F</v>
      </c>
      <c r="F618" s="12" t="s">
        <v>748</v>
      </c>
      <c r="G618" s="11" t="str">
        <f t="shared" si="29"/>
        <v>X99・資材倉庫・2F2F</v>
      </c>
      <c r="H618" s="3"/>
    </row>
    <row r="619" spans="1:8" ht="15" customHeight="1" x14ac:dyDescent="0.2">
      <c r="A619" s="14" t="s">
        <v>758</v>
      </c>
      <c r="B619" s="10" t="str">
        <f>IFERROR(
    INDEX([1]FSHIP!B:B,MATCH(A619,[1]FSHIP!A:A,0)),
    IFERROR(
        INDEX([1]釣具商品ship!B:B,MATCH(A619,[1]釣具商品ship!A:A,0)),
        IFERROR(
            INDEX([1]玩具商品ship!B:B,MATCH(A619,[1]玩具商品ship!A:A,0)),
            IFERROR(
                INDEX([1]OEMship!B:B,MATCH(A619,[1]OEMship!A:A,0)),
                IFERROR(
                    INDEX([1]NV6ship!B:B,MATCH(A619,[1]NV6ship!A:A,0)),
                    IFERROR(
                        INDEX([1]NVship!B:B,MATCH(A619,[1]NVship!A:A,0)),
                        IFERROR(
                            INDEX([1]海ship!B:B,MATCH(A619,[1]海ship!A:A,0)),
                            IFERROR(
                                INDEX([1]ｾﾚship!B:B,MATCH(A619,[1]ｾﾚship!A:A,0)),
                                IFERROR(
                                    INDEX([1]ｾﾚﾓﾆｰ商品ship!B:B,MATCH(A619,[1]ｾﾚﾓﾆｰ商品ship!A:A,0)),
                                    INDEX([2]NV!D:D,MATCH(A619,[2]NV!C:C,0))
                                )
                            )
                        )
                    )
                )
            )
        )
    )
)</f>
        <v>反射シール(黒)</v>
      </c>
      <c r="C619" s="16" t="s">
        <v>799</v>
      </c>
      <c r="D619" s="4" t="str">
        <f t="shared" si="27"/>
        <v>反射シール(黒) ｜ 資材倉庫・2F【X99】 ｜ 2F</v>
      </c>
      <c r="E619" s="11" t="str">
        <f t="shared" si="28"/>
        <v>資材倉庫・2F</v>
      </c>
      <c r="F619" s="12" t="s">
        <v>748</v>
      </c>
      <c r="G619" s="11" t="str">
        <f t="shared" si="29"/>
        <v>X99・資材倉庫・2F2F</v>
      </c>
      <c r="H619" s="3"/>
    </row>
    <row r="620" spans="1:8" ht="15" customHeight="1" x14ac:dyDescent="0.2">
      <c r="A620" s="14" t="s">
        <v>759</v>
      </c>
      <c r="B620" s="10" t="str">
        <f>IFERROR(
    INDEX([1]FSHIP!B:B,MATCH(A620,[1]FSHIP!A:A,0)),
    IFERROR(
        INDEX([1]釣具商品ship!B:B,MATCH(A620,[1]釣具商品ship!A:A,0)),
        IFERROR(
            INDEX([1]玩具商品ship!B:B,MATCH(A620,[1]玩具商品ship!A:A,0)),
            IFERROR(
                INDEX([1]OEMship!B:B,MATCH(A620,[1]OEMship!A:A,0)),
                IFERROR(
                    INDEX([1]NV6ship!B:B,MATCH(A620,[1]NV6ship!A:A,0)),
                    IFERROR(
                        INDEX([1]NVship!B:B,MATCH(A620,[1]NVship!A:A,0)),
                        IFERROR(
                            INDEX([1]海ship!B:B,MATCH(A620,[1]海ship!A:A,0)),
                            IFERROR(
                                INDEX([1]ｾﾚship!B:B,MATCH(A620,[1]ｾﾚship!A:A,0)),
                                IFERROR(
                                    INDEX([1]ｾﾚﾓﾆｰ商品ship!B:B,MATCH(A620,[1]ｾﾚﾓﾆｰ商品ship!A:A,0)),
                                    INDEX([2]NV!D:D,MATCH(A620,[2]NV!C:C,0))
                                )
                            )
                        )
                    )
                )
            )
        )
    )
)</f>
        <v>反射シール(ミックス･黒)</v>
      </c>
      <c r="C620" s="16" t="s">
        <v>799</v>
      </c>
      <c r="D620" s="4" t="str">
        <f t="shared" si="27"/>
        <v>反射シール(ミックス･黒) ｜ 資材倉庫・2F【X99】 ｜ 2F</v>
      </c>
      <c r="E620" s="11" t="str">
        <f t="shared" si="28"/>
        <v>資材倉庫・2F</v>
      </c>
      <c r="F620" s="12" t="s">
        <v>748</v>
      </c>
      <c r="G620" s="11" t="str">
        <f t="shared" si="29"/>
        <v>X99・資材倉庫・2F2F</v>
      </c>
      <c r="H620" s="3"/>
    </row>
    <row r="621" spans="1:8" ht="15" customHeight="1" x14ac:dyDescent="0.2">
      <c r="A621" s="10" t="s">
        <v>458</v>
      </c>
      <c r="B621" s="10" t="str">
        <f>IFERROR(
    INDEX([1]FSHIP!B:B,MATCH(A621,[1]FSHIP!A:A,0)),
    IFERROR(
        INDEX([1]釣具商品ship!B:B,MATCH(A621,[1]釣具商品ship!A:A,0)),
        IFERROR(
            INDEX([1]玩具商品ship!B:B,MATCH(A621,[1]玩具商品ship!A:A,0)),
            IFERROR(
                INDEX([1]OEMship!B:B,MATCH(A621,[1]OEMship!A:A,0)),
                IFERROR(
                    INDEX([1]NV6ship!B:B,MATCH(A621,[1]NV6ship!A:A,0)),
                    IFERROR(
                        INDEX([1]NVship!B:B,MATCH(A621,[1]NVship!A:A,0)),
                        IFERROR(
                            INDEX([1]海ship!B:B,MATCH(A621,[1]海ship!A:A,0)),
                            IFERROR(
                                INDEX([1]ｾﾚship!B:B,MATCH(A621,[1]ｾﾚship!A:A,0)),
                                IFERROR(
                                    INDEX([1]ｾﾚﾓﾆｰ商品ship!B:B,MATCH(A621,[1]ｾﾚﾓﾆｰ商品ship!A:A,0)),
                                    INDEX([2]NV!D:D,MATCH(A621,[2]NV!C:C,0))
                                )
                            )
                        )
                    )
                )
            )
        )
    )
)</f>
        <v>むぎゅっと!!ぬい活ﾍﾟﾝﾗｲﾄ</v>
      </c>
      <c r="C621" s="4" t="s">
        <v>472</v>
      </c>
      <c r="D621" s="10" t="str">
        <f t="shared" si="27"/>
        <v>むぎゅっと!!ぬい活ﾍﾟﾝﾗｲﾄ ｜ 資材倉庫・ノベルティ【10】 ｜ A-1</v>
      </c>
      <c r="E621" s="11" t="str">
        <f t="shared" si="28"/>
        <v>資材倉庫・ノベルティ</v>
      </c>
      <c r="F621" s="12" t="s">
        <v>473</v>
      </c>
      <c r="G621" s="11" t="str">
        <f t="shared" si="29"/>
        <v>10・資材倉庫・ノベルティA-1</v>
      </c>
      <c r="H621" s="3"/>
    </row>
    <row r="622" spans="1:8" ht="15" customHeight="1" x14ac:dyDescent="0.2">
      <c r="A622" s="10" t="s">
        <v>459</v>
      </c>
      <c r="B622" s="10" t="str">
        <f>IFERROR(
    INDEX([1]FSHIP!B:B,MATCH(A622,[1]FSHIP!A:A,0)),
    IFERROR(
        INDEX([1]釣具商品ship!B:B,MATCH(A622,[1]釣具商品ship!A:A,0)),
        IFERROR(
            INDEX([1]玩具商品ship!B:B,MATCH(A622,[1]玩具商品ship!A:A,0)),
            IFERROR(
                INDEX([1]OEMship!B:B,MATCH(A622,[1]OEMship!A:A,0)),
                IFERROR(
                    INDEX([1]NV6ship!B:B,MATCH(A622,[1]NV6ship!A:A,0)),
                    IFERROR(
                        INDEX([1]NVship!B:B,MATCH(A622,[1]NVship!A:A,0)),
                        IFERROR(
                            INDEX([1]海ship!B:B,MATCH(A622,[1]海ship!A:A,0)),
                            IFERROR(
                                INDEX([1]ｾﾚship!B:B,MATCH(A622,[1]ｾﾚship!A:A,0)),
                                IFERROR(
                                    INDEX([1]ｾﾚﾓﾆｰ商品ship!B:B,MATCH(A622,[1]ｾﾚﾓﾆｰ商品ship!A:A,0)),
                                    INDEX([2]NV!D:D,MATCH(A622,[2]NV!C:C,0))
                                )
                            )
                        )
                    )
                )
            )
        )
    )
)</f>
        <v>ﾙﾐｶｰﾄﾞ</v>
      </c>
      <c r="C622" s="4" t="s">
        <v>472</v>
      </c>
      <c r="D622" s="10" t="str">
        <f t="shared" si="27"/>
        <v>ﾙﾐｶｰﾄﾞ ｜ 資材倉庫・ノベルティ【10】 ｜ A-1</v>
      </c>
      <c r="E622" s="11" t="str">
        <f t="shared" si="28"/>
        <v>資材倉庫・ノベルティ</v>
      </c>
      <c r="F622" s="12" t="s">
        <v>473</v>
      </c>
      <c r="G622" s="11" t="str">
        <f t="shared" si="29"/>
        <v>10・資材倉庫・ノベルティA-1</v>
      </c>
      <c r="H622" s="3"/>
    </row>
    <row r="623" spans="1:8" ht="15" customHeight="1" x14ac:dyDescent="0.2">
      <c r="A623" s="14" t="s">
        <v>897</v>
      </c>
      <c r="B623" s="10" t="str">
        <f>IFERROR(
    INDEX([1]FSHIP!B:B,MATCH(A623,[1]FSHIP!A:A,0)),
    IFERROR(
        INDEX([1]釣具商品ship!B:B,MATCH(A623,[1]釣具商品ship!A:A,0)),
        IFERROR(
            INDEX([1]玩具商品ship!B:B,MATCH(A623,[1]玩具商品ship!A:A,0)),
            IFERROR(
                INDEX([1]OEMship!B:B,MATCH(A623,[1]OEMship!A:A,0)),
                IFERROR(
                    INDEX([1]NV6ship!B:B,MATCH(A623,[1]NV6ship!A:A,0)),
                    IFERROR(
                        INDEX([1]NVship!B:B,MATCH(A623,[1]NVship!A:A,0)),
                        IFERROR(
                            INDEX([1]海ship!B:B,MATCH(A623,[1]海ship!A:A,0)),
                            IFERROR(
                                INDEX([1]ｾﾚship!B:B,MATCH(A623,[1]ｾﾚship!A:A,0)),
                                IFERROR(
                                    INDEX([1]ｾﾚﾓﾆｰ商品ship!B:B,MATCH(A623,[1]ｾﾚﾓﾆｰ商品ship!A:A,0)),
                                    INDEX([2]NV!D:D,MATCH(A623,[2]NV!C:C,0))
                                )
                            )
                        )
                    )
                )
            )
        )
    )
)</f>
        <v>備蓄用ウェットティッシュ(15枚入)</v>
      </c>
      <c r="C623" s="16" t="s">
        <v>848</v>
      </c>
      <c r="D623" s="4" t="str">
        <f t="shared" si="27"/>
        <v>備蓄用ウェットティッシュ(15枚入) ｜ 2F【05】 ｜ B-1</v>
      </c>
      <c r="E623" s="11" t="str">
        <f t="shared" si="28"/>
        <v>2F</v>
      </c>
      <c r="F623" s="12" t="s">
        <v>803</v>
      </c>
      <c r="G623" s="11" t="str">
        <f t="shared" si="29"/>
        <v>05・2FB-1</v>
      </c>
      <c r="H623" s="3"/>
    </row>
    <row r="624" spans="1:8" ht="15" customHeight="1" x14ac:dyDescent="0.2">
      <c r="A624" s="14" t="s">
        <v>760</v>
      </c>
      <c r="B624" s="10" t="str">
        <f>IFERROR(
    INDEX([1]FSHIP!B:B,MATCH(A624,[1]FSHIP!A:A,0)),
    IFERROR(
        INDEX([1]釣具商品ship!B:B,MATCH(A624,[1]釣具商品ship!A:A,0)),
        IFERROR(
            INDEX([1]玩具商品ship!B:B,MATCH(A624,[1]玩具商品ship!A:A,0)),
            IFERROR(
                INDEX([1]OEMship!B:B,MATCH(A624,[1]OEMship!A:A,0)),
                IFERROR(
                    INDEX([1]NV6ship!B:B,MATCH(A624,[1]NV6ship!A:A,0)),
                    IFERROR(
                        INDEX([1]NVship!B:B,MATCH(A624,[1]NVship!A:A,0)),
                        IFERROR(
                            INDEX([1]海ship!B:B,MATCH(A624,[1]海ship!A:A,0)),
                            IFERROR(
                                INDEX([1]ｾﾚship!B:B,MATCH(A624,[1]ｾﾚship!A:A,0)),
                                IFERROR(
                                    INDEX([1]ｾﾚﾓﾆｰ商品ship!B:B,MATCH(A624,[1]ｾﾚﾓﾆｰ商品ship!A:A,0)),
                                    INDEX([2]NV!D:D,MATCH(A624,[2]NV!C:C,0))
                                )
                            )
                        )
                    )
                )
            )
        )
    )
)</f>
        <v>新ミラクルキッチンワイプス</v>
      </c>
      <c r="C624" s="16" t="s">
        <v>799</v>
      </c>
      <c r="D624" s="4" t="str">
        <f t="shared" si="27"/>
        <v>新ミラクルキッチンワイプス ｜ 資材倉庫・2F【X99】 ｜ 2F</v>
      </c>
      <c r="E624" s="11" t="str">
        <f t="shared" si="28"/>
        <v>資材倉庫・2F</v>
      </c>
      <c r="F624" s="12" t="s">
        <v>748</v>
      </c>
      <c r="G624" s="11" t="str">
        <f t="shared" si="29"/>
        <v>X99・資材倉庫・2F2F</v>
      </c>
    </row>
    <row r="625" spans="1:7" ht="15" customHeight="1" x14ac:dyDescent="0.2">
      <c r="A625" s="14" t="s">
        <v>761</v>
      </c>
      <c r="B625" s="10" t="str">
        <f>IFERROR(
    INDEX([1]FSHIP!B:B,MATCH(A625,[1]FSHIP!A:A,0)),
    IFERROR(
        INDEX([1]釣具商品ship!B:B,MATCH(A625,[1]釣具商品ship!A:A,0)),
        IFERROR(
            INDEX([1]玩具商品ship!B:B,MATCH(A625,[1]玩具商品ship!A:A,0)),
            IFERROR(
                INDEX([1]OEMship!B:B,MATCH(A625,[1]OEMship!A:A,0)),
                IFERROR(
                    INDEX([1]NV6ship!B:B,MATCH(A625,[1]NV6ship!A:A,0)),
                    IFERROR(
                        INDEX([1]NVship!B:B,MATCH(A625,[1]NVship!A:A,0)),
                        IFERROR(
                            INDEX([1]海ship!B:B,MATCH(A625,[1]海ship!A:A,0)),
                            IFERROR(
                                INDEX([1]ｾﾚship!B:B,MATCH(A625,[1]ｾﾚship!A:A,0)),
                                IFERROR(
                                    INDEX([1]ｾﾚﾓﾆｰ商品ship!B:B,MATCH(A625,[1]ｾﾚﾓﾆｰ商品ship!A:A,0)),
                                    INDEX([2]NV!D:D,MATCH(A625,[2]NV!C:C,0))
                                )
                            )
                        )
                    )
                )
            )
        )
    )
)</f>
        <v>新洗たく用洗剤シート</v>
      </c>
      <c r="C625" s="16" t="s">
        <v>799</v>
      </c>
      <c r="D625" s="4" t="str">
        <f t="shared" si="27"/>
        <v>新洗たく用洗剤シート ｜ 資材倉庫・2F【X99】 ｜ 2F</v>
      </c>
      <c r="E625" s="11" t="str">
        <f t="shared" si="28"/>
        <v>資材倉庫・2F</v>
      </c>
      <c r="F625" s="12" t="s">
        <v>748</v>
      </c>
      <c r="G625" s="11" t="str">
        <f t="shared" si="29"/>
        <v>X99・資材倉庫・2F2F</v>
      </c>
    </row>
    <row r="626" spans="1:7" ht="15" customHeight="1" x14ac:dyDescent="0.2">
      <c r="A626" s="14" t="s">
        <v>762</v>
      </c>
      <c r="B626" s="10" t="str">
        <f>IFERROR(
    INDEX([1]FSHIP!B:B,MATCH(A626,[1]FSHIP!A:A,0)),
    IFERROR(
        INDEX([1]釣具商品ship!B:B,MATCH(A626,[1]釣具商品ship!A:A,0)),
        IFERROR(
            INDEX([1]玩具商品ship!B:B,MATCH(A626,[1]玩具商品ship!A:A,0)),
            IFERROR(
                INDEX([1]OEMship!B:B,MATCH(A626,[1]OEMship!A:A,0)),
                IFERROR(
                    INDEX([1]NV6ship!B:B,MATCH(A626,[1]NV6ship!A:A,0)),
                    IFERROR(
                        INDEX([1]NVship!B:B,MATCH(A626,[1]NVship!A:A,0)),
                        IFERROR(
                            INDEX([1]海ship!B:B,MATCH(A626,[1]海ship!A:A,0)),
                            IFERROR(
                                INDEX([1]ｾﾚship!B:B,MATCH(A626,[1]ｾﾚship!A:A,0)),
                                IFERROR(
                                    INDEX([1]ｾﾚﾓﾆｰ商品ship!B:B,MATCH(A626,[1]ｾﾚﾓﾆｰ商品ship!A:A,0)),
                                    INDEX([2]NV!D:D,MATCH(A626,[2]NV!C:C,0))
                                )
                            )
                        )
                    )
                )
            )
        )
    )
)</f>
        <v>モーリアンヒートパックＭ</v>
      </c>
      <c r="C626" s="16" t="s">
        <v>799</v>
      </c>
      <c r="D626" s="4" t="str">
        <f t="shared" si="27"/>
        <v>モーリアンヒートパックＭ ｜ 資材倉庫・2F【X99】 ｜ 2F</v>
      </c>
      <c r="E626" s="11" t="str">
        <f t="shared" si="28"/>
        <v>資材倉庫・2F</v>
      </c>
      <c r="F626" s="12" t="s">
        <v>748</v>
      </c>
      <c r="G626" s="11" t="str">
        <f t="shared" si="29"/>
        <v>X99・資材倉庫・2F2F</v>
      </c>
    </row>
    <row r="627" spans="1:7" ht="15" customHeight="1" x14ac:dyDescent="0.2">
      <c r="A627" s="14" t="s">
        <v>898</v>
      </c>
      <c r="B627" s="10" t="str">
        <f>IFERROR(
    INDEX([1]FSHIP!B:B,MATCH(A627,[1]FSHIP!A:A,0)),
    IFERROR(
        INDEX([1]釣具商品ship!B:B,MATCH(A627,[1]釣具商品ship!A:A,0)),
        IFERROR(
            INDEX([1]玩具商品ship!B:B,MATCH(A627,[1]玩具商品ship!A:A,0)),
            IFERROR(
                INDEX([1]OEMship!B:B,MATCH(A627,[1]OEMship!A:A,0)),
                IFERROR(
                    INDEX([1]NV6ship!B:B,MATCH(A627,[1]NV6ship!A:A,0)),
                    IFERROR(
                        INDEX([1]NVship!B:B,MATCH(A627,[1]NVship!A:A,0)),
                        IFERROR(
                            INDEX([1]海ship!B:B,MATCH(A627,[1]海ship!A:A,0)),
                            IFERROR(
                                INDEX([1]ｾﾚship!B:B,MATCH(A627,[1]ｾﾚship!A:A,0)),
                                IFERROR(
                                    INDEX([1]ｾﾚﾓﾆｰ商品ship!B:B,MATCH(A627,[1]ｾﾚﾓﾆｰ商品ship!A:A,0)),
                                    INDEX([2]NV!D:D,MATCH(A627,[2]NV!C:C,0))
                                )
                            )
                        )
                    )
                )
            )
        )
    )
)</f>
        <v>防災備蓄用エアーマット</v>
      </c>
      <c r="C627" s="16" t="s">
        <v>848</v>
      </c>
      <c r="D627" s="4" t="str">
        <f t="shared" si="27"/>
        <v>防災備蓄用エアーマット ｜ 2F【05】 ｜ B-1</v>
      </c>
      <c r="E627" s="11" t="str">
        <f t="shared" si="28"/>
        <v>2F</v>
      </c>
      <c r="F627" s="12" t="s">
        <v>803</v>
      </c>
      <c r="G627" s="11" t="str">
        <f t="shared" si="29"/>
        <v>05・2FB-1</v>
      </c>
    </row>
    <row r="628" spans="1:7" ht="15" customHeight="1" x14ac:dyDescent="0.2">
      <c r="A628" s="14" t="s">
        <v>840</v>
      </c>
      <c r="B628" s="10" t="str">
        <f>IFERROR(
    INDEX([1]FSHIP!B:B,MATCH(A628,[1]FSHIP!A:A,0)),
    IFERROR(
        INDEX([1]釣具商品ship!B:B,MATCH(A628,[1]釣具商品ship!A:A,0)),
        IFERROR(
            INDEX([1]玩具商品ship!B:B,MATCH(A628,[1]玩具商品ship!A:A,0)),
            IFERROR(
                INDEX([1]OEMship!B:B,MATCH(A628,[1]OEMship!A:A,0)),
                IFERROR(
                    INDEX([1]NV6ship!B:B,MATCH(A628,[1]NV6ship!A:A,0)),
                    IFERROR(
                        INDEX([1]NVship!B:B,MATCH(A628,[1]NVship!A:A,0)),
                        IFERROR(
                            INDEX([1]海ship!B:B,MATCH(A628,[1]海ship!A:A,0)),
                            IFERROR(
                                INDEX([1]ｾﾚship!B:B,MATCH(A628,[1]ｾﾚship!A:A,0)),
                                IFERROR(
                                    INDEX([1]ｾﾚﾓﾆｰ商品ship!B:B,MATCH(A628,[1]ｾﾚﾓﾆｰ商品ship!A:A,0)),
                                    INDEX([2]NV!D:D,MATCH(A628,[2]NV!C:C,0))
                                )
                            )
                        )
                    )
                )
            )
        )
    )
)</f>
        <v>防災リュック(15Lｻｲｽﾞ)</v>
      </c>
      <c r="C628" s="16" t="s">
        <v>802</v>
      </c>
      <c r="D628" s="4" t="str">
        <f t="shared" si="27"/>
        <v>防災リュック(15Lｻｲｽﾞ) ｜ 2F【05】 ｜ A-1</v>
      </c>
      <c r="E628" s="11" t="str">
        <f t="shared" si="28"/>
        <v>2F</v>
      </c>
      <c r="F628" s="12" t="s">
        <v>803</v>
      </c>
      <c r="G628" s="11" t="str">
        <f t="shared" si="29"/>
        <v>05・2FA-1</v>
      </c>
    </row>
    <row r="629" spans="1:7" ht="15" customHeight="1" x14ac:dyDescent="0.2">
      <c r="A629" s="14" t="s">
        <v>838</v>
      </c>
      <c r="B629" s="10" t="str">
        <f>IFERROR(
    INDEX([1]FSHIP!B:B,MATCH(A629,[1]FSHIP!A:A,0)),
    IFERROR(
        INDEX([1]釣具商品ship!B:B,MATCH(A629,[1]釣具商品ship!A:A,0)),
        IFERROR(
            INDEX([1]玩具商品ship!B:B,MATCH(A629,[1]玩具商品ship!A:A,0)),
            IFERROR(
                INDEX([1]OEMship!B:B,MATCH(A629,[1]OEMship!A:A,0)),
                IFERROR(
                    INDEX([1]NV6ship!B:B,MATCH(A629,[1]NV6ship!A:A,0)),
                    IFERROR(
                        INDEX([1]NVship!B:B,MATCH(A629,[1]NVship!A:A,0)),
                        IFERROR(
                            INDEX([1]海ship!B:B,MATCH(A629,[1]海ship!A:A,0)),
                            IFERROR(
                                INDEX([1]ｾﾚship!B:B,MATCH(A629,[1]ｾﾚship!A:A,0)),
                                IFERROR(
                                    INDEX([1]ｾﾚﾓﾆｰ商品ship!B:B,MATCH(A629,[1]ｾﾚﾓﾆｰ商品ship!A:A,0)),
                                    INDEX([2]NV!D:D,MATCH(A629,[2]NV!C:C,0))
                                )
                            )
                        )
                    )
                )
            )
        )
    )
)</f>
        <v>飲み水を持ち運べるｳｫｰﾀｰﾊﾞｯｸﾞ4L</v>
      </c>
      <c r="C629" s="16" t="s">
        <v>802</v>
      </c>
      <c r="D629" s="4" t="str">
        <f t="shared" si="27"/>
        <v>飲み水を持ち運べるｳｫｰﾀｰﾊﾞｯｸﾞ4L ｜ 2F【05】 ｜ A-1</v>
      </c>
      <c r="E629" s="11" t="str">
        <f t="shared" si="28"/>
        <v>2F</v>
      </c>
      <c r="F629" s="12" t="s">
        <v>803</v>
      </c>
      <c r="G629" s="11" t="str">
        <f t="shared" si="29"/>
        <v>05・2FA-1</v>
      </c>
    </row>
    <row r="630" spans="1:7" ht="15" customHeight="1" x14ac:dyDescent="0.2">
      <c r="A630" s="14" t="s">
        <v>901</v>
      </c>
      <c r="B630" s="10" t="str">
        <f>IFERROR(
    INDEX([1]FSHIP!B:B,MATCH(A630,[1]FSHIP!A:A,0)),
    IFERROR(
        INDEX([1]釣具商品ship!B:B,MATCH(A630,[1]釣具商品ship!A:A,0)),
        IFERROR(
            INDEX([1]玩具商品ship!B:B,MATCH(A630,[1]玩具商品ship!A:A,0)),
            IFERROR(
                INDEX([1]OEMship!B:B,MATCH(A630,[1]OEMship!A:A,0)),
                IFERROR(
                    INDEX([1]NV6ship!B:B,MATCH(A630,[1]NV6ship!A:A,0)),
                    IFERROR(
                        INDEX([1]NVship!B:B,MATCH(A630,[1]NVship!A:A,0)),
                        IFERROR(
                            INDEX([1]海ship!B:B,MATCH(A630,[1]海ship!A:A,0)),
                            IFERROR(
                                INDEX([1]ｾﾚship!B:B,MATCH(A630,[1]ｾﾚship!A:A,0)),
                                IFERROR(
                                    INDEX([1]ｾﾚﾓﾆｰ商品ship!B:B,MATCH(A630,[1]ｾﾚﾓﾆｰ商品ship!A:A,0)),
                                    INDEX([2]NV!D:D,MATCH(A630,[2]NV!C:C,0))
                                )
                            )
                        )
                    )
                )
            )
        )
    )
)</f>
        <v>ポンチョ型レインコート</v>
      </c>
      <c r="C630" s="16" t="s">
        <v>848</v>
      </c>
      <c r="D630" s="4" t="str">
        <f t="shared" si="27"/>
        <v>ポンチョ型レインコート ｜ 2F【05】 ｜ B-1</v>
      </c>
      <c r="E630" s="11" t="str">
        <f t="shared" si="28"/>
        <v>2F</v>
      </c>
      <c r="F630" s="12" t="s">
        <v>803</v>
      </c>
      <c r="G630" s="11" t="str">
        <f t="shared" si="29"/>
        <v>05・2FB-1</v>
      </c>
    </row>
    <row r="631" spans="1:7" ht="15" customHeight="1" x14ac:dyDescent="0.2">
      <c r="A631" s="14" t="s">
        <v>900</v>
      </c>
      <c r="B631" s="10" t="str">
        <f>IFERROR(
    INDEX([1]FSHIP!B:B,MATCH(A631,[1]FSHIP!A:A,0)),
    IFERROR(
        INDEX([1]釣具商品ship!B:B,MATCH(A631,[1]釣具商品ship!A:A,0)),
        IFERROR(
            INDEX([1]玩具商品ship!B:B,MATCH(A631,[1]玩具商品ship!A:A,0)),
            IFERROR(
                INDEX([1]OEMship!B:B,MATCH(A631,[1]OEMship!A:A,0)),
                IFERROR(
                    INDEX([1]NV6ship!B:B,MATCH(A631,[1]NV6ship!A:A,0)),
                    IFERROR(
                        INDEX([1]NVship!B:B,MATCH(A631,[1]NVship!A:A,0)),
                        IFERROR(
                            INDEX([1]海ship!B:B,MATCH(A631,[1]海ship!A:A,0)),
                            IFERROR(
                                INDEX([1]ｾﾚship!B:B,MATCH(A631,[1]ｾﾚship!A:A,0)),
                                IFERROR(
                                    INDEX([1]ｾﾚﾓﾆｰ商品ship!B:B,MATCH(A631,[1]ｾﾚﾓﾆｰ商品ship!A:A,0)),
                                    INDEX([2]NV!D:D,MATCH(A631,[2]NV!C:C,0))
                                )
                            )
                        )
                    )
                )
            )
        )
    )
)</f>
        <v>アルミシート</v>
      </c>
      <c r="C631" s="16" t="s">
        <v>848</v>
      </c>
      <c r="D631" s="4" t="str">
        <f t="shared" si="27"/>
        <v>アルミシート ｜ 2F【05】 ｜ B-1</v>
      </c>
      <c r="E631" s="11" t="str">
        <f t="shared" si="28"/>
        <v>2F</v>
      </c>
      <c r="F631" s="12" t="s">
        <v>803</v>
      </c>
      <c r="G631" s="11" t="str">
        <f t="shared" si="29"/>
        <v>05・2FB-1</v>
      </c>
    </row>
    <row r="632" spans="1:7" ht="15" customHeight="1" x14ac:dyDescent="0.2">
      <c r="A632" s="14" t="s">
        <v>837</v>
      </c>
      <c r="B632" s="10" t="str">
        <f>IFERROR(
    INDEX([1]FSHIP!B:B,MATCH(A632,[1]FSHIP!A:A,0)),
    IFERROR(
        INDEX([1]釣具商品ship!B:B,MATCH(A632,[1]釣具商品ship!A:A,0)),
        IFERROR(
            INDEX([1]玩具商品ship!B:B,MATCH(A632,[1]玩具商品ship!A:A,0)),
            IFERROR(
                INDEX([1]OEMship!B:B,MATCH(A632,[1]OEMship!A:A,0)),
                IFERROR(
                    INDEX([1]NV6ship!B:B,MATCH(A632,[1]NV6ship!A:A,0)),
                    IFERROR(
                        INDEX([1]NVship!B:B,MATCH(A632,[1]NVship!A:A,0)),
                        IFERROR(
                            INDEX([1]海ship!B:B,MATCH(A632,[1]海ship!A:A,0)),
                            IFERROR(
                                INDEX([1]ｾﾚship!B:B,MATCH(A632,[1]ｾﾚship!A:A,0)),
                                IFERROR(
                                    INDEX([1]ｾﾚﾓﾆｰ商品ship!B:B,MATCH(A632,[1]ｾﾚﾓﾆｰ商品ship!A:A,0)),
                                    INDEX([2]NV!D:D,MATCH(A632,[2]NV!C:C,0))
                                )
                            )
                        )
                    )
                )
            )
        )
    )
)</f>
        <v>軍手</v>
      </c>
      <c r="C632" s="16" t="s">
        <v>802</v>
      </c>
      <c r="D632" s="4" t="str">
        <f t="shared" si="27"/>
        <v>軍手 ｜ 2F【05】 ｜ A-1</v>
      </c>
      <c r="E632" s="11" t="str">
        <f t="shared" si="28"/>
        <v>2F</v>
      </c>
      <c r="F632" s="12" t="s">
        <v>803</v>
      </c>
      <c r="G632" s="11" t="str">
        <f t="shared" si="29"/>
        <v>05・2FA-1</v>
      </c>
    </row>
    <row r="633" spans="1:7" ht="15" customHeight="1" x14ac:dyDescent="0.2">
      <c r="A633" s="14" t="s">
        <v>839</v>
      </c>
      <c r="B633" s="10" t="str">
        <f>IFERROR(
    INDEX([1]FSHIP!B:B,MATCH(A633,[1]FSHIP!A:A,0)),
    IFERROR(
        INDEX([1]釣具商品ship!B:B,MATCH(A633,[1]釣具商品ship!A:A,0)),
        IFERROR(
            INDEX([1]玩具商品ship!B:B,MATCH(A633,[1]玩具商品ship!A:A,0)),
            IFERROR(
                INDEX([1]OEMship!B:B,MATCH(A633,[1]OEMship!A:A,0)),
                IFERROR(
                    INDEX([1]NV6ship!B:B,MATCH(A633,[1]NV6ship!A:A,0)),
                    IFERROR(
                        INDEX([1]NVship!B:B,MATCH(A633,[1]NVship!A:A,0)),
                        IFERROR(
                            INDEX([1]海ship!B:B,MATCH(A633,[1]海ship!A:A,0)),
                            IFERROR(
                                INDEX([1]ｾﾚship!B:B,MATCH(A633,[1]ｾﾚship!A:A,0)),
                                IFERROR(
                                    INDEX([1]ｾﾚﾓﾆｰ商品ship!B:B,MATCH(A633,[1]ｾﾚﾓﾆｰ商品ship!A:A,0)),
                                    INDEX([2]NV!D:D,MATCH(A633,[2]NV!C:C,0))
                                )
                            )
                        )
                    )
                )
            )
        )
    )
)</f>
        <v>ポータブルラジオ</v>
      </c>
      <c r="C633" s="16" t="s">
        <v>802</v>
      </c>
      <c r="D633" s="4" t="str">
        <f t="shared" si="27"/>
        <v>ポータブルラジオ ｜ 2F【05】 ｜ A-1</v>
      </c>
      <c r="E633" s="11" t="str">
        <f t="shared" si="28"/>
        <v>2F</v>
      </c>
      <c r="F633" s="12" t="s">
        <v>803</v>
      </c>
      <c r="G633" s="11" t="str">
        <f t="shared" si="29"/>
        <v>05・2FA-1</v>
      </c>
    </row>
    <row r="634" spans="1:7" ht="15" customHeight="1" x14ac:dyDescent="0.2">
      <c r="A634" s="14" t="s">
        <v>895</v>
      </c>
      <c r="B634" s="10" t="str">
        <f>IFERROR(
    INDEX([1]FSHIP!B:B,MATCH(A634,[1]FSHIP!A:A,0)),
    IFERROR(
        INDEX([1]釣具商品ship!B:B,MATCH(A634,[1]釣具商品ship!A:A,0)),
        IFERROR(
            INDEX([1]玩具商品ship!B:B,MATCH(A634,[1]玩具商品ship!A:A,0)),
            IFERROR(
                INDEX([1]OEMship!B:B,MATCH(A634,[1]OEMship!A:A,0)),
                IFERROR(
                    INDEX([1]NV6ship!B:B,MATCH(A634,[1]NV6ship!A:A,0)),
                    IFERROR(
                        INDEX([1]NVship!B:B,MATCH(A634,[1]NVship!A:A,0)),
                        IFERROR(
                            INDEX([1]海ship!B:B,MATCH(A634,[1]海ship!A:A,0)),
                            IFERROR(
                                INDEX([1]ｾﾚship!B:B,MATCH(A634,[1]ｾﾚship!A:A,0)),
                                IFERROR(
                                    INDEX([1]ｾﾚﾓﾆｰ商品ship!B:B,MATCH(A634,[1]ｾﾚﾓﾆｰ商品ship!A:A,0)),
                                    INDEX([2]NV!D:D,MATCH(A634,[2]NV!C:C,0))
                                )
                            )
                        )
                    )
                )
            )
        )
    )
)</f>
        <v>非常用トイレ（吸収シートタイプ）</v>
      </c>
      <c r="C634" s="16" t="s">
        <v>848</v>
      </c>
      <c r="D634" s="4" t="str">
        <f t="shared" si="27"/>
        <v>非常用トイレ（吸収シートタイプ） ｜ 2F【05】 ｜ B-1</v>
      </c>
      <c r="E634" s="11" t="str">
        <f t="shared" si="28"/>
        <v>2F</v>
      </c>
      <c r="F634" s="12" t="s">
        <v>803</v>
      </c>
      <c r="G634" s="11" t="str">
        <f t="shared" si="29"/>
        <v>05・2FB-1</v>
      </c>
    </row>
    <row r="635" spans="1:7" ht="15" customHeight="1" x14ac:dyDescent="0.2">
      <c r="A635" s="14" t="s">
        <v>894</v>
      </c>
      <c r="B635" s="10" t="str">
        <f>IFERROR(
    INDEX([1]FSHIP!B:B,MATCH(A635,[1]FSHIP!A:A,0)),
    IFERROR(
        INDEX([1]釣具商品ship!B:B,MATCH(A635,[1]釣具商品ship!A:A,0)),
        IFERROR(
            INDEX([1]玩具商品ship!B:B,MATCH(A635,[1]玩具商品ship!A:A,0)),
            IFERROR(
                INDEX([1]OEMship!B:B,MATCH(A635,[1]OEMship!A:A,0)),
                IFERROR(
                    INDEX([1]NV6ship!B:B,MATCH(A635,[1]NV6ship!A:A,0)),
                    IFERROR(
                        INDEX([1]NVship!B:B,MATCH(A635,[1]NVship!A:A,0)),
                        IFERROR(
                            INDEX([1]海ship!B:B,MATCH(A635,[1]海ship!A:A,0)),
                            IFERROR(
                                INDEX([1]ｾﾚship!B:B,MATCH(A635,[1]ｾﾚship!A:A,0)),
                                IFERROR(
                                    INDEX([1]ｾﾚﾓﾆｰ商品ship!B:B,MATCH(A635,[1]ｾﾚﾓﾆｰ商品ship!A:A,0)),
                                    INDEX([2]NV!D:D,MATCH(A635,[2]NV!C:C,0))
                                )
                            )
                        )
                    )
                )
            )
        )
    )
)</f>
        <v>備蓄用圧縮バスタオル</v>
      </c>
      <c r="C635" s="16" t="s">
        <v>848</v>
      </c>
      <c r="D635" s="4" t="str">
        <f t="shared" si="27"/>
        <v>備蓄用圧縮バスタオル ｜ 2F【05】 ｜ B-1</v>
      </c>
      <c r="E635" s="11" t="str">
        <f t="shared" si="28"/>
        <v>2F</v>
      </c>
      <c r="F635" s="12" t="s">
        <v>803</v>
      </c>
      <c r="G635" s="11" t="str">
        <f t="shared" si="29"/>
        <v>05・2FB-1</v>
      </c>
    </row>
    <row r="636" spans="1:7" ht="15" customHeight="1" x14ac:dyDescent="0.2">
      <c r="A636" s="14" t="s">
        <v>741</v>
      </c>
      <c r="B636" s="10" t="str">
        <f>IFERROR(
    INDEX([1]FSHIP!B:B,MATCH(A636,[1]FSHIP!A:A,0)),
    IFERROR(
        INDEX([1]釣具商品ship!B:B,MATCH(A636,[1]釣具商品ship!A:A,0)),
        IFERROR(
            INDEX([1]玩具商品ship!B:B,MATCH(A636,[1]玩具商品ship!A:A,0)),
            IFERROR(
                INDEX([1]OEMship!B:B,MATCH(A636,[1]OEMship!A:A,0)),
                IFERROR(
                    INDEX([1]NV6ship!B:B,MATCH(A636,[1]NV6ship!A:A,0)),
                    IFERROR(
                        INDEX([1]NVship!B:B,MATCH(A636,[1]NVship!A:A,0)),
                        IFERROR(
                            INDEX([1]海ship!B:B,MATCH(A636,[1]海ship!A:A,0)),
                            IFERROR(
                                INDEX([1]ｾﾚship!B:B,MATCH(A636,[1]ｾﾚship!A:A,0)),
                                IFERROR(
                                    INDEX([1]ｾﾚﾓﾆｰ商品ship!B:B,MATCH(A636,[1]ｾﾚﾓﾆｰ商品ship!A:A,0)),
                                    INDEX([2]NV!D:D,MATCH(A636,[2]NV!C:C,0))
                                )
                            )
                        )
                    )
                )
            )
        )
    )
)</f>
        <v>防災バッグ 20点ｾｯﾄ 2</v>
      </c>
      <c r="C636" s="16" t="s">
        <v>463</v>
      </c>
      <c r="D636" s="4" t="str">
        <f t="shared" si="27"/>
        <v>防災バッグ 20点ｾｯﾄ 2 ｜ 1Fノベルティ【03】 ｜ C-1</v>
      </c>
      <c r="E636" s="11" t="str">
        <f t="shared" si="28"/>
        <v>1Fノベルティ</v>
      </c>
      <c r="F636" s="12" t="s">
        <v>744</v>
      </c>
      <c r="G636" s="11" t="str">
        <f t="shared" si="29"/>
        <v>03・1FノベルティC-1</v>
      </c>
    </row>
    <row r="637" spans="1:7" ht="15" customHeight="1" x14ac:dyDescent="0.2">
      <c r="A637" s="14" t="s">
        <v>834</v>
      </c>
      <c r="B637" s="10" t="str">
        <f>IFERROR(
    INDEX([1]FSHIP!B:B,MATCH(A637,[1]FSHIP!A:A,0)),
    IFERROR(
        INDEX([1]釣具商品ship!B:B,MATCH(A637,[1]釣具商品ship!A:A,0)),
        IFERROR(
            INDEX([1]玩具商品ship!B:B,MATCH(A637,[1]玩具商品ship!A:A,0)),
            IFERROR(
                INDEX([1]OEMship!B:B,MATCH(A637,[1]OEMship!A:A,0)),
                IFERROR(
                    INDEX([1]NV6ship!B:B,MATCH(A637,[1]NV6ship!A:A,0)),
                    IFERROR(
                        INDEX([1]NVship!B:B,MATCH(A637,[1]NVship!A:A,0)),
                        IFERROR(
                            INDEX([1]海ship!B:B,MATCH(A637,[1]海ship!A:A,0)),
                            IFERROR(
                                INDEX([1]ｾﾚship!B:B,MATCH(A637,[1]ｾﾚship!A:A,0)),
                                IFERROR(
                                    INDEX([1]ｾﾚﾓﾆｰ商品ship!B:B,MATCH(A637,[1]ｾﾚﾓﾆｰ商品ship!A:A,0)),
                                    INDEX([2]NV!D:D,MATCH(A637,[2]NV!C:C,0))
                                )
                            )
                        )
                    )
                )
            )
        )
    )
)</f>
        <v>防災バッグ 情報収集セット</v>
      </c>
      <c r="C637" s="16" t="s">
        <v>802</v>
      </c>
      <c r="D637" s="4" t="str">
        <f t="shared" si="27"/>
        <v>防災バッグ 情報収集セット ｜ 2F【05】 ｜ A-1</v>
      </c>
      <c r="E637" s="11" t="str">
        <f t="shared" si="28"/>
        <v>2F</v>
      </c>
      <c r="F637" s="12" t="s">
        <v>803</v>
      </c>
      <c r="G637" s="11" t="str">
        <f t="shared" si="29"/>
        <v>05・2FA-1</v>
      </c>
    </row>
    <row r="638" spans="1:7" ht="15" customHeight="1" x14ac:dyDescent="0.2">
      <c r="A638" s="14" t="s">
        <v>893</v>
      </c>
      <c r="B638" s="10" t="str">
        <f>IFERROR(
    INDEX([1]FSHIP!B:B,MATCH(A638,[1]FSHIP!A:A,0)),
    IFERROR(
        INDEX([1]釣具商品ship!B:B,MATCH(A638,[1]釣具商品ship!A:A,0)),
        IFERROR(
            INDEX([1]玩具商品ship!B:B,MATCH(A638,[1]玩具商品ship!A:A,0)),
            IFERROR(
                INDEX([1]OEMship!B:B,MATCH(A638,[1]OEMship!A:A,0)),
                IFERROR(
                    INDEX([1]NV6ship!B:B,MATCH(A638,[1]NV6ship!A:A,0)),
                    IFERROR(
                        INDEX([1]NVship!B:B,MATCH(A638,[1]NVship!A:A,0)),
                        IFERROR(
                            INDEX([1]海ship!B:B,MATCH(A638,[1]海ship!A:A,0)),
                            IFERROR(
                                INDEX([1]ｾﾚship!B:B,MATCH(A638,[1]ｾﾚship!A:A,0)),
                                IFERROR(
                                    INDEX([1]ｾﾚﾓﾆｰ商品ship!B:B,MATCH(A638,[1]ｾﾚﾓﾆｰ商品ship!A:A,0)),
                                    INDEX([2]NV!D:D,MATCH(A638,[2]NV!C:C,0))
                                )
                            )
                        )
                    )
                )
            )
        )
    )
)</f>
        <v>ハンディメディカル</v>
      </c>
      <c r="C638" s="16" t="s">
        <v>848</v>
      </c>
      <c r="D638" s="4" t="str">
        <f t="shared" si="27"/>
        <v>ハンディメディカル ｜ 2F【05】 ｜ B-1</v>
      </c>
      <c r="E638" s="11" t="str">
        <f t="shared" si="28"/>
        <v>2F</v>
      </c>
      <c r="F638" s="12" t="s">
        <v>803</v>
      </c>
      <c r="G638" s="11" t="str">
        <f t="shared" si="29"/>
        <v>05・2FB-1</v>
      </c>
    </row>
    <row r="639" spans="1:7" ht="15" customHeight="1" x14ac:dyDescent="0.2">
      <c r="A639" s="14" t="s">
        <v>892</v>
      </c>
      <c r="B639" s="10" t="str">
        <f>IFERROR(
    INDEX([1]FSHIP!B:B,MATCH(A639,[1]FSHIP!A:A,0)),
    IFERROR(
        INDEX([1]釣具商品ship!B:B,MATCH(A639,[1]釣具商品ship!A:A,0)),
        IFERROR(
            INDEX([1]玩具商品ship!B:B,MATCH(A639,[1]玩具商品ship!A:A,0)),
            IFERROR(
                INDEX([1]OEMship!B:B,MATCH(A639,[1]OEMship!A:A,0)),
                IFERROR(
                    INDEX([1]NV6ship!B:B,MATCH(A639,[1]NV6ship!A:A,0)),
                    IFERROR(
                        INDEX([1]NVship!B:B,MATCH(A639,[1]NVship!A:A,0)),
                        IFERROR(
                            INDEX([1]海ship!B:B,MATCH(A639,[1]海ship!A:A,0)),
                            IFERROR(
                                INDEX([1]ｾﾚship!B:B,MATCH(A639,[1]ｾﾚship!A:A,0)),
                                IFERROR(
                                    INDEX([1]ｾﾚﾓﾆｰ商品ship!B:B,MATCH(A639,[1]ｾﾚﾓﾆｰ商品ship!A:A,0)),
                                    INDEX([2]NV!D:D,MATCH(A639,[2]NV!C:C,0))
                                )
                            )
                        )
                    )
                )
            )
        )
    )
)</f>
        <v>ちょっと安眠セット</v>
      </c>
      <c r="C639" s="16" t="s">
        <v>848</v>
      </c>
      <c r="D639" s="4" t="str">
        <f t="shared" si="27"/>
        <v>ちょっと安眠セット ｜ 2F【05】 ｜ B-1</v>
      </c>
      <c r="E639" s="11" t="str">
        <f t="shared" si="28"/>
        <v>2F</v>
      </c>
      <c r="F639" s="12" t="s">
        <v>803</v>
      </c>
      <c r="G639" s="11" t="str">
        <f t="shared" si="29"/>
        <v>05・2FB-1</v>
      </c>
    </row>
    <row r="640" spans="1:7" ht="15" customHeight="1" x14ac:dyDescent="0.2">
      <c r="A640" s="14" t="s">
        <v>740</v>
      </c>
      <c r="B640" s="10" t="str">
        <f>IFERROR(
    INDEX([1]FSHIP!B:B,MATCH(A640,[1]FSHIP!A:A,0)),
    IFERROR(
        INDEX([1]釣具商品ship!B:B,MATCH(A640,[1]釣具商品ship!A:A,0)),
        IFERROR(
            INDEX([1]玩具商品ship!B:B,MATCH(A640,[1]玩具商品ship!A:A,0)),
            IFERROR(
                INDEX([1]OEMship!B:B,MATCH(A640,[1]OEMship!A:A,0)),
                IFERROR(
                    INDEX([1]NV6ship!B:B,MATCH(A640,[1]NV6ship!A:A,0)),
                    IFERROR(
                        INDEX([1]NVship!B:B,MATCH(A640,[1]NVship!A:A,0)),
                        IFERROR(
                            INDEX([1]海ship!B:B,MATCH(A640,[1]海ship!A:A,0)),
                            IFERROR(
                                INDEX([1]ｾﾚship!B:B,MATCH(A640,[1]ｾﾚship!A:A,0)),
                                IFERROR(
                                    INDEX([1]ｾﾚﾓﾆｰ商品ship!B:B,MATCH(A640,[1]ｾﾚﾓﾆｰ商品ship!A:A,0)),
                                    INDEX([2]NV!D:D,MATCH(A640,[2]NV!C:C,0))
                                )
                            )
                        )
                    )
                )
            )
        )
    )
)</f>
        <v>防災バッグ 20点ｾｯﾄ 2＋食品、水</v>
      </c>
      <c r="C640" s="16" t="s">
        <v>457</v>
      </c>
      <c r="D640" s="4" t="str">
        <f t="shared" si="27"/>
        <v>防災バッグ 20点ｾｯﾄ 2＋食品、水 ｜ 1Fノベルティ【03】 ｜ D-1</v>
      </c>
      <c r="E640" s="11" t="str">
        <f t="shared" si="28"/>
        <v>1Fノベルティ</v>
      </c>
      <c r="F640" s="12" t="s">
        <v>744</v>
      </c>
      <c r="G640" s="11" t="str">
        <f t="shared" si="29"/>
        <v>03・1FノベルティD-1</v>
      </c>
    </row>
    <row r="641" spans="1:7" ht="15" customHeight="1" x14ac:dyDescent="0.2">
      <c r="A641" s="14" t="s">
        <v>836</v>
      </c>
      <c r="B641" s="10" t="str">
        <f>IFERROR(
    INDEX([1]FSHIP!B:B,MATCH(A641,[1]FSHIP!A:A,0)),
    IFERROR(
        INDEX([1]釣具商品ship!B:B,MATCH(A641,[1]釣具商品ship!A:A,0)),
        IFERROR(
            INDEX([1]玩具商品ship!B:B,MATCH(A641,[1]玩具商品ship!A:A,0)),
            IFERROR(
                INDEX([1]OEMship!B:B,MATCH(A641,[1]OEMship!A:A,0)),
                IFERROR(
                    INDEX([1]NV6ship!B:B,MATCH(A641,[1]NV6ship!A:A,0)),
                    IFERROR(
                        INDEX([1]NVship!B:B,MATCH(A641,[1]NVship!A:A,0)),
                        IFERROR(
                            INDEX([1]海ship!B:B,MATCH(A641,[1]海ship!A:A,0)),
                            IFERROR(
                                INDEX([1]ｾﾚship!B:B,MATCH(A641,[1]ｾﾚship!A:A,0)),
                                IFERROR(
                                    INDEX([1]ｾﾚﾓﾆｰ商品ship!B:B,MATCH(A641,[1]ｾﾚﾓﾆｰ商品ship!A:A,0)),
                                    INDEX([2]NV!D:D,MATCH(A641,[2]NV!C:C,0))
                                )
                            )
                        )
                    )
                )
            )
        )
    )
)</f>
        <v>三立製菓 カンパン</v>
      </c>
      <c r="C641" s="16" t="s">
        <v>802</v>
      </c>
      <c r="D641" s="4" t="str">
        <f t="shared" si="27"/>
        <v>三立製菓 カンパン ｜ 2F【05】 ｜ A-1</v>
      </c>
      <c r="E641" s="11" t="str">
        <f t="shared" si="28"/>
        <v>2F</v>
      </c>
      <c r="F641" s="12" t="s">
        <v>803</v>
      </c>
      <c r="G641" s="11" t="str">
        <f t="shared" si="29"/>
        <v>05・2FA-1</v>
      </c>
    </row>
    <row r="642" spans="1:7" ht="15" customHeight="1" x14ac:dyDescent="0.2">
      <c r="A642" s="10" t="s">
        <v>177</v>
      </c>
      <c r="B642" s="10" t="str">
        <f>IFERROR(
    INDEX([1]FSHIP!B:B,MATCH(A642,[1]FSHIP!A:A,0)),
    IFERROR(
        INDEX([1]釣具商品ship!B:B,MATCH(A642,[1]釣具商品ship!A:A,0)),
        IFERROR(
            INDEX([1]玩具商品ship!B:B,MATCH(A642,[1]玩具商品ship!A:A,0)),
            IFERROR(
                INDEX([1]OEMship!B:B,MATCH(A642,[1]OEMship!A:A,0)),
                IFERROR(
                    INDEX([1]NV6ship!B:B,MATCH(A642,[1]NV6ship!A:A,0)),
                    IFERROR(
                        INDEX([1]NVship!B:B,MATCH(A642,[1]NVship!A:A,0)),
                        IFERROR(
                            INDEX([1]海ship!B:B,MATCH(A642,[1]海ship!A:A,0)),
                            IFERROR(
                                INDEX([1]ｾﾚship!B:B,MATCH(A642,[1]ｾﾚship!A:A,0)),
                                IFERROR(
                                    INDEX([1]ｾﾚﾓﾆｰ商品ship!B:B,MATCH(A642,[1]ｾﾚﾓﾆｰ商品ship!A:A,0)),
                                    INDEX([2]NV!D:D,MATCH(A642,[2]NV!C:C,0))
                                )
                            )
                        )
                    )
                )
            )
        )
    )
)</f>
        <v>ちょい投げスタートセット</v>
      </c>
      <c r="C642" s="4" t="s">
        <v>0</v>
      </c>
      <c r="D642" s="10" t="str">
        <f t="shared" ref="D642:D705" si="30">B642&amp;" ｜ "&amp;E642&amp;"【"&amp;F642&amp;"】 ｜ "&amp;C642</f>
        <v>ちょい投げスタートセット ｜ 1F釣具部屋【04】 ｜ F</v>
      </c>
      <c r="E642" s="11" t="str">
        <f t="shared" ref="E642:E705" si="31">INDEX(K:K, MATCH(F642, J:J, 0))</f>
        <v>1F釣具部屋</v>
      </c>
      <c r="F642" s="12" t="s">
        <v>21</v>
      </c>
      <c r="G642" s="11" t="str">
        <f t="shared" ref="G642:G705" si="32">F642&amp;"・"&amp;E642&amp;C642</f>
        <v>04・1F釣具部屋F</v>
      </c>
    </row>
    <row r="643" spans="1:7" ht="15" customHeight="1" x14ac:dyDescent="0.2">
      <c r="A643" s="14" t="s">
        <v>896</v>
      </c>
      <c r="B643" s="10" t="str">
        <f>IFERROR(
    INDEX([1]FSHIP!B:B,MATCH(A643,[1]FSHIP!A:A,0)),
    IFERROR(
        INDEX([1]釣具商品ship!B:B,MATCH(A643,[1]釣具商品ship!A:A,0)),
        IFERROR(
            INDEX([1]玩具商品ship!B:B,MATCH(A643,[1]玩具商品ship!A:A,0)),
            IFERROR(
                INDEX([1]OEMship!B:B,MATCH(A643,[1]OEMship!A:A,0)),
                IFERROR(
                    INDEX([1]NV6ship!B:B,MATCH(A643,[1]NV6ship!A:A,0)),
                    IFERROR(
                        INDEX([1]NVship!B:B,MATCH(A643,[1]NVship!A:A,0)),
                        IFERROR(
                            INDEX([1]海ship!B:B,MATCH(A643,[1]海ship!A:A,0)),
                            IFERROR(
                                INDEX([1]ｾﾚship!B:B,MATCH(A643,[1]ｾﾚship!A:A,0)),
                                IFERROR(
                                    INDEX([1]ｾﾚﾓﾆｰ商品ship!B:B,MATCH(A643,[1]ｾﾚﾓﾆｰ商品ship!A:A,0)),
                                    INDEX([2]NV!D:D,MATCH(A643,[2]NV!C:C,0))
                                )
                            )
                        )
                    )
                )
            )
        )
    )
)</f>
        <v>ﾎｯとするﾎﾟｰﾁお出かけｾｯﾄ L-SQ1</v>
      </c>
      <c r="C643" s="16" t="s">
        <v>848</v>
      </c>
      <c r="D643" s="4" t="str">
        <f t="shared" si="30"/>
        <v>ﾎｯとするﾎﾟｰﾁお出かけｾｯﾄ L-SQ1 ｜ 2F【05】 ｜ B-1</v>
      </c>
      <c r="E643" s="11" t="str">
        <f t="shared" si="31"/>
        <v>2F</v>
      </c>
      <c r="F643" s="12" t="s">
        <v>803</v>
      </c>
      <c r="G643" s="11" t="str">
        <f t="shared" si="32"/>
        <v>05・2FB-1</v>
      </c>
    </row>
    <row r="644" spans="1:7" ht="15" customHeight="1" x14ac:dyDescent="0.2">
      <c r="A644" s="14" t="s">
        <v>832</v>
      </c>
      <c r="B644" s="10" t="str">
        <f>IFERROR(
    INDEX([1]FSHIP!B:B,MATCH(A644,[1]FSHIP!A:A,0)),
    IFERROR(
        INDEX([1]釣具商品ship!B:B,MATCH(A644,[1]釣具商品ship!A:A,0)),
        IFERROR(
            INDEX([1]玩具商品ship!B:B,MATCH(A644,[1]玩具商品ship!A:A,0)),
            IFERROR(
                INDEX([1]OEMship!B:B,MATCH(A644,[1]OEMship!A:A,0)),
                IFERROR(
                    INDEX([1]NV6ship!B:B,MATCH(A644,[1]NV6ship!A:A,0)),
                    IFERROR(
                        INDEX([1]NVship!B:B,MATCH(A644,[1]NVship!A:A,0)),
                        IFERROR(
                            INDEX([1]海ship!B:B,MATCH(A644,[1]海ship!A:A,0)),
                            IFERROR(
                                INDEX([1]ｾﾚship!B:B,MATCH(A644,[1]ｾﾚship!A:A,0)),
                                IFERROR(
                                    INDEX([1]ｾﾚﾓﾆｰ商品ship!B:B,MATCH(A644,[1]ｾﾚﾓﾆｰ商品ship!A:A,0)),
                                    INDEX([2]NV!D:D,MATCH(A644,[2]NV!C:C,0))
                                )
                            )
                        )
                    )
                )
            )
        )
    )
)</f>
        <v>水のいらない歯みがきｼｰﾄ 10枚入り</v>
      </c>
      <c r="C644" s="16" t="s">
        <v>802</v>
      </c>
      <c r="D644" s="4" t="str">
        <f t="shared" si="30"/>
        <v>水のいらない歯みがきｼｰﾄ 10枚入り ｜ 2F【05】 ｜ A-1</v>
      </c>
      <c r="E644" s="11" t="str">
        <f t="shared" si="31"/>
        <v>2F</v>
      </c>
      <c r="F644" s="12" t="s">
        <v>803</v>
      </c>
      <c r="G644" s="11" t="str">
        <f t="shared" si="32"/>
        <v>05・2FA-1</v>
      </c>
    </row>
    <row r="645" spans="1:7" ht="15" customHeight="1" x14ac:dyDescent="0.2">
      <c r="A645" s="14" t="s">
        <v>833</v>
      </c>
      <c r="B645" s="10" t="str">
        <f>IFERROR(
    INDEX([1]FSHIP!B:B,MATCH(A645,[1]FSHIP!A:A,0)),
    IFERROR(
        INDEX([1]釣具商品ship!B:B,MATCH(A645,[1]釣具商品ship!A:A,0)),
        IFERROR(
            INDEX([1]玩具商品ship!B:B,MATCH(A645,[1]玩具商品ship!A:A,0)),
            IFERROR(
                INDEX([1]OEMship!B:B,MATCH(A645,[1]OEMship!A:A,0)),
                IFERROR(
                    INDEX([1]NV6ship!B:B,MATCH(A645,[1]NV6ship!A:A,0)),
                    IFERROR(
                        INDEX([1]NVship!B:B,MATCH(A645,[1]NVship!A:A,0)),
                        IFERROR(
                            INDEX([1]海ship!B:B,MATCH(A645,[1]海ship!A:A,0)),
                            IFERROR(
                                INDEX([1]ｾﾚship!B:B,MATCH(A645,[1]ｾﾚship!A:A,0)),
                                IFERROR(
                                    INDEX([1]ｾﾚﾓﾆｰ商品ship!B:B,MATCH(A645,[1]ｾﾚﾓﾆｰ商品ship!A:A,0)),
                                    INDEX([2]NV!D:D,MATCH(A645,[2]NV!C:C,0))
                                )
                            )
                        )
                    )
                )
            )
        )
    )
)</f>
        <v>水のいらない泡なしｼｬﾝﾌﾟｰﾀｵﾙ 2枚入</v>
      </c>
      <c r="C645" s="16" t="s">
        <v>802</v>
      </c>
      <c r="D645" s="4" t="str">
        <f t="shared" si="30"/>
        <v>水のいらない泡なしｼｬﾝﾌﾟｰﾀｵﾙ 2枚入 ｜ 2F【05】 ｜ A-1</v>
      </c>
      <c r="E645" s="11" t="str">
        <f t="shared" si="31"/>
        <v>2F</v>
      </c>
      <c r="F645" s="12" t="s">
        <v>803</v>
      </c>
      <c r="G645" s="11" t="str">
        <f t="shared" si="32"/>
        <v>05・2FA-1</v>
      </c>
    </row>
    <row r="646" spans="1:7" ht="15" customHeight="1" x14ac:dyDescent="0.2">
      <c r="A646" s="14" t="s">
        <v>899</v>
      </c>
      <c r="B646" s="10" t="str">
        <f>IFERROR(
    INDEX([1]FSHIP!B:B,MATCH(A646,[1]FSHIP!A:A,0)),
    IFERROR(
        INDEX([1]釣具商品ship!B:B,MATCH(A646,[1]釣具商品ship!A:A,0)),
        IFERROR(
            INDEX([1]玩具商品ship!B:B,MATCH(A646,[1]玩具商品ship!A:A,0)),
            IFERROR(
                INDEX([1]OEMship!B:B,MATCH(A646,[1]OEMship!A:A,0)),
                IFERROR(
                    INDEX([1]NV6ship!B:B,MATCH(A646,[1]NV6ship!A:A,0)),
                    IFERROR(
                        INDEX([1]NVship!B:B,MATCH(A646,[1]NVship!A:A,0)),
                        IFERROR(
                            INDEX([1]海ship!B:B,MATCH(A646,[1]海ship!A:A,0)),
                            IFERROR(
                                INDEX([1]ｾﾚship!B:B,MATCH(A646,[1]ｾﾚship!A:A,0)),
                                IFERROR(
                                    INDEX([1]ｾﾚﾓﾆｰ商品ship!B:B,MATCH(A646,[1]ｾﾚﾓﾆｰ商品ship!A:A,0)),
                                    INDEX([2]NV!D:D,MATCH(A646,[2]NV!C:C,0))
                                )
                            )
                        )
                    )
                )
            )
        )
    )
)</f>
        <v>貼らない常備用ｶｲﾛ超温</v>
      </c>
      <c r="C646" s="16" t="s">
        <v>848</v>
      </c>
      <c r="D646" s="4" t="str">
        <f t="shared" si="30"/>
        <v>貼らない常備用ｶｲﾛ超温 ｜ 2F【05】 ｜ B-1</v>
      </c>
      <c r="E646" s="11" t="str">
        <f t="shared" si="31"/>
        <v>2F</v>
      </c>
      <c r="F646" s="12" t="s">
        <v>803</v>
      </c>
      <c r="G646" s="11" t="str">
        <f t="shared" si="32"/>
        <v>05・2FB-1</v>
      </c>
    </row>
    <row r="647" spans="1:7" ht="15" customHeight="1" x14ac:dyDescent="0.2">
      <c r="A647" s="14" t="s">
        <v>835</v>
      </c>
      <c r="B647" s="10" t="str">
        <f>IFERROR(
    INDEX([1]FSHIP!B:B,MATCH(A647,[1]FSHIP!A:A,0)),
    IFERROR(
        INDEX([1]釣具商品ship!B:B,MATCH(A647,[1]釣具商品ship!A:A,0)),
        IFERROR(
            INDEX([1]玩具商品ship!B:B,MATCH(A647,[1]玩具商品ship!A:A,0)),
            IFERROR(
                INDEX([1]OEMship!B:B,MATCH(A647,[1]OEMship!A:A,0)),
                IFERROR(
                    INDEX([1]NV6ship!B:B,MATCH(A647,[1]NV6ship!A:A,0)),
                    IFERROR(
                        INDEX([1]NVship!B:B,MATCH(A647,[1]NVship!A:A,0)),
                        IFERROR(
                            INDEX([1]海ship!B:B,MATCH(A647,[1]海ship!A:A,0)),
                            IFERROR(
                                INDEX([1]ｾﾚship!B:B,MATCH(A647,[1]ｾﾚship!A:A,0)),
                                IFERROR(
                                    INDEX([1]ｾﾚﾓﾆｰ商品ship!B:B,MATCH(A647,[1]ｾﾚﾓﾆｰ商品ship!A:A,0)),
                                    INDEX([2]NV!D:D,MATCH(A647,[2]NV!C:C,0))
                                )
                            )
                        )
                    )
                )
            )
        )
    )
)</f>
        <v>ﾓﾊﾞｲﾙﾊﾞｯﾃﾘｰ(単三×4本)</v>
      </c>
      <c r="C647" s="16" t="s">
        <v>802</v>
      </c>
      <c r="D647" s="4" t="str">
        <f t="shared" si="30"/>
        <v>ﾓﾊﾞｲﾙﾊﾞｯﾃﾘｰ(単三×4本) ｜ 2F【05】 ｜ A-1</v>
      </c>
      <c r="E647" s="11" t="str">
        <f t="shared" si="31"/>
        <v>2F</v>
      </c>
      <c r="F647" s="12" t="s">
        <v>803</v>
      </c>
      <c r="G647" s="11" t="str">
        <f t="shared" si="32"/>
        <v>05・2FA-1</v>
      </c>
    </row>
    <row r="648" spans="1:7" ht="15" customHeight="1" x14ac:dyDescent="0.2">
      <c r="A648" s="14" t="s">
        <v>902</v>
      </c>
      <c r="B648" s="10" t="str">
        <f>IFERROR(
    INDEX([1]FSHIP!B:B,MATCH(A648,[1]FSHIP!A:A,0)),
    IFERROR(
        INDEX([1]釣具商品ship!B:B,MATCH(A648,[1]釣具商品ship!A:A,0)),
        IFERROR(
            INDEX([1]玩具商品ship!B:B,MATCH(A648,[1]玩具商品ship!A:A,0)),
            IFERROR(
                INDEX([1]OEMship!B:B,MATCH(A648,[1]OEMship!A:A,0)),
                IFERROR(
                    INDEX([1]NV6ship!B:B,MATCH(A648,[1]NV6ship!A:A,0)),
                    IFERROR(
                        INDEX([1]NVship!B:B,MATCH(A648,[1]NVship!A:A,0)),
                        IFERROR(
                            INDEX([1]海ship!B:B,MATCH(A648,[1]海ship!A:A,0)),
                            IFERROR(
                                INDEX([1]ｾﾚship!B:B,MATCH(A648,[1]ｾﾚship!A:A,0)),
                                IFERROR(
                                    INDEX([1]ｾﾚﾓﾆｰ商品ship!B:B,MATCH(A648,[1]ｾﾚﾓﾆｰ商品ship!A:A,0)),
                                    INDEX([2]NV!D:D,MATCH(A648,[2]NV!C:C,0))
                                )
                            )
                        )
                    )
                )
            )
        )
    )
)</f>
        <v>もしもに役立つｻﾗﾝﾗｯﾌﾟ</v>
      </c>
      <c r="C648" s="16" t="s">
        <v>848</v>
      </c>
      <c r="D648" s="4" t="str">
        <f t="shared" si="30"/>
        <v>もしもに役立つｻﾗﾝﾗｯﾌﾟ ｜ 2F【05】 ｜ B-1</v>
      </c>
      <c r="E648" s="11" t="str">
        <f t="shared" si="31"/>
        <v>2F</v>
      </c>
      <c r="F648" s="12" t="s">
        <v>803</v>
      </c>
      <c r="G648" s="11" t="str">
        <f t="shared" si="32"/>
        <v>05・2FB-1</v>
      </c>
    </row>
    <row r="649" spans="1:7" ht="15" customHeight="1" x14ac:dyDescent="0.2">
      <c r="A649" s="14" t="s">
        <v>763</v>
      </c>
      <c r="B649" s="10" t="str">
        <f>IFERROR(
    INDEX([1]FSHIP!B:B,MATCH(A649,[1]FSHIP!A:A,0)),
    IFERROR(
        INDEX([1]釣具商品ship!B:B,MATCH(A649,[1]釣具商品ship!A:A,0)),
        IFERROR(
            INDEX([1]玩具商品ship!B:B,MATCH(A649,[1]玩具商品ship!A:A,0)),
            IFERROR(
                INDEX([1]OEMship!B:B,MATCH(A649,[1]OEMship!A:A,0)),
                IFERROR(
                    INDEX([1]NV6ship!B:B,MATCH(A649,[1]NV6ship!A:A,0)),
                    IFERROR(
                        INDEX([1]NVship!B:B,MATCH(A649,[1]NVship!A:A,0)),
                        IFERROR(
                            INDEX([1]海ship!B:B,MATCH(A649,[1]海ship!A:A,0)),
                            IFERROR(
                                INDEX([1]ｾﾚship!B:B,MATCH(A649,[1]ｾﾚship!A:A,0)),
                                IFERROR(
                                    INDEX([1]ｾﾚﾓﾆｰ商品ship!B:B,MATCH(A649,[1]ｾﾚﾓﾆｰ商品ship!A:A,0)),
                                    INDEX([2]NV!D:D,MATCH(A649,[2]NV!C:C,0))
                                )
                            )
                        )
                    )
                )
            )
        )
    )
)</f>
        <v>ｱｸｱｴﾝｼﾞｪﾙ　ｸﾞﾗｽ　TOP</v>
      </c>
      <c r="C649" s="16" t="s">
        <v>799</v>
      </c>
      <c r="D649" s="4" t="str">
        <f t="shared" si="30"/>
        <v>ｱｸｱｴﾝｼﾞｪﾙ　ｸﾞﾗｽ　TOP ｜ 資材倉庫・2F【X99】 ｜ 2F</v>
      </c>
      <c r="E649" s="11" t="str">
        <f t="shared" si="31"/>
        <v>資材倉庫・2F</v>
      </c>
      <c r="F649" s="12" t="s">
        <v>748</v>
      </c>
      <c r="G649" s="11" t="str">
        <f t="shared" si="32"/>
        <v>X99・資材倉庫・2F2F</v>
      </c>
    </row>
    <row r="650" spans="1:7" ht="15" customHeight="1" x14ac:dyDescent="0.2">
      <c r="A650" s="14" t="s">
        <v>764</v>
      </c>
      <c r="B650" s="10" t="str">
        <f>IFERROR(
    INDEX([1]FSHIP!B:B,MATCH(A650,[1]FSHIP!A:A,0)),
    IFERROR(
        INDEX([1]釣具商品ship!B:B,MATCH(A650,[1]釣具商品ship!A:A,0)),
        IFERROR(
            INDEX([1]玩具商品ship!B:B,MATCH(A650,[1]玩具商品ship!A:A,0)),
            IFERROR(
                INDEX([1]OEMship!B:B,MATCH(A650,[1]OEMship!A:A,0)),
                IFERROR(
                    INDEX([1]NV6ship!B:B,MATCH(A650,[1]NV6ship!A:A,0)),
                    IFERROR(
                        INDEX([1]NVship!B:B,MATCH(A650,[1]NVship!A:A,0)),
                        IFERROR(
                            INDEX([1]海ship!B:B,MATCH(A650,[1]海ship!A:A,0)),
                            IFERROR(
                                INDEX([1]ｾﾚship!B:B,MATCH(A650,[1]ｾﾚship!A:A,0)),
                                IFERROR(
                                    INDEX([1]ｾﾚﾓﾆｰ商品ship!B:B,MATCH(A650,[1]ｾﾚﾓﾆｰ商品ship!A:A,0)),
                                    INDEX([2]NV!D:D,MATCH(A650,[2]NV!C:C,0))
                                )
                            )
                        )
                    )
                )
            )
        )
    )
)</f>
        <v>ｱｸｱｴﾝｼﾞｪﾙ　ｸﾞﾗｽ　小</v>
      </c>
      <c r="C650" s="16" t="s">
        <v>799</v>
      </c>
      <c r="D650" s="4" t="str">
        <f t="shared" si="30"/>
        <v>ｱｸｱｴﾝｼﾞｪﾙ　ｸﾞﾗｽ　小 ｜ 資材倉庫・2F【X99】 ｜ 2F</v>
      </c>
      <c r="E650" s="11" t="str">
        <f t="shared" si="31"/>
        <v>資材倉庫・2F</v>
      </c>
      <c r="F650" s="12" t="s">
        <v>748</v>
      </c>
      <c r="G650" s="11" t="str">
        <f t="shared" si="32"/>
        <v>X99・資材倉庫・2F2F</v>
      </c>
    </row>
    <row r="651" spans="1:7" ht="15" customHeight="1" x14ac:dyDescent="0.2">
      <c r="A651" s="14" t="s">
        <v>765</v>
      </c>
      <c r="B651" s="10" t="str">
        <f>IFERROR(
    INDEX([1]FSHIP!B:B,MATCH(A651,[1]FSHIP!A:A,0)),
    IFERROR(
        INDEX([1]釣具商品ship!B:B,MATCH(A651,[1]釣具商品ship!A:A,0)),
        IFERROR(
            INDEX([1]玩具商品ship!B:B,MATCH(A651,[1]玩具商品ship!A:A,0)),
            IFERROR(
                INDEX([1]OEMship!B:B,MATCH(A651,[1]OEMship!A:A,0)),
                IFERROR(
                    INDEX([1]NV6ship!B:B,MATCH(A651,[1]NV6ship!A:A,0)),
                    IFERROR(
                        INDEX([1]NVship!B:B,MATCH(A651,[1]NVship!A:A,0)),
                        IFERROR(
                            INDEX([1]海ship!B:B,MATCH(A651,[1]海ship!A:A,0)),
                            IFERROR(
                                INDEX([1]ｾﾚship!B:B,MATCH(A651,[1]ｾﾚship!A:A,0)),
                                IFERROR(
                                    INDEX([1]ｾﾚﾓﾆｰ商品ship!B:B,MATCH(A651,[1]ｾﾚﾓﾆｰ商品ship!A:A,0)),
                                    INDEX([2]NV!D:D,MATCH(A651,[2]NV!C:C,0))
                                )
                            )
                        )
                    )
                )
            )
        )
    )
)</f>
        <v>ｱﾝｼﾞｪﾘｶ</v>
      </c>
      <c r="C651" s="16" t="s">
        <v>799</v>
      </c>
      <c r="D651" s="4" t="str">
        <f t="shared" si="30"/>
        <v>ｱﾝｼﾞｪﾘｶ ｜ 資材倉庫・2F【X99】 ｜ 2F</v>
      </c>
      <c r="E651" s="11" t="str">
        <f t="shared" si="31"/>
        <v>資材倉庫・2F</v>
      </c>
      <c r="F651" s="12" t="s">
        <v>748</v>
      </c>
      <c r="G651" s="11" t="str">
        <f t="shared" si="32"/>
        <v>X99・資材倉庫・2F2F</v>
      </c>
    </row>
    <row r="652" spans="1:7" ht="15" customHeight="1" x14ac:dyDescent="0.2">
      <c r="A652" s="14" t="s">
        <v>766</v>
      </c>
      <c r="B652" s="10" t="str">
        <f>IFERROR(
    INDEX([1]FSHIP!B:B,MATCH(A652,[1]FSHIP!A:A,0)),
    IFERROR(
        INDEX([1]釣具商品ship!B:B,MATCH(A652,[1]釣具商品ship!A:A,0)),
        IFERROR(
            INDEX([1]玩具商品ship!B:B,MATCH(A652,[1]玩具商品ship!A:A,0)),
            IFERROR(
                INDEX([1]OEMship!B:B,MATCH(A652,[1]OEMship!A:A,0)),
                IFERROR(
                    INDEX([1]NV6ship!B:B,MATCH(A652,[1]NV6ship!A:A,0)),
                    IFERROR(
                        INDEX([1]NVship!B:B,MATCH(A652,[1]NVship!A:A,0)),
                        IFERROR(
                            INDEX([1]海ship!B:B,MATCH(A652,[1]海ship!A:A,0)),
                            IFERROR(
                                INDEX([1]ｾﾚship!B:B,MATCH(A652,[1]ｾﾚship!A:A,0)),
                                IFERROR(
                                    INDEX([1]ｾﾚﾓﾆｰ商品ship!B:B,MATCH(A652,[1]ｾﾚﾓﾆｰ商品ship!A:A,0)),
                                    INDEX([2]NV!D:D,MATCH(A652,[2]NV!C:C,0))
                                )
                            )
                        )
                    )
                )
            )
        )
    )
)</f>
        <v>トリニティ</v>
      </c>
      <c r="C652" s="16" t="s">
        <v>799</v>
      </c>
      <c r="D652" s="4" t="str">
        <f t="shared" si="30"/>
        <v>トリニティ ｜ 資材倉庫・2F【X99】 ｜ 2F</v>
      </c>
      <c r="E652" s="11" t="str">
        <f t="shared" si="31"/>
        <v>資材倉庫・2F</v>
      </c>
      <c r="F652" s="12" t="s">
        <v>748</v>
      </c>
      <c r="G652" s="11" t="str">
        <f t="shared" si="32"/>
        <v>X99・資材倉庫・2F2F</v>
      </c>
    </row>
    <row r="653" spans="1:7" ht="15" customHeight="1" x14ac:dyDescent="0.2">
      <c r="A653" s="14" t="s">
        <v>863</v>
      </c>
      <c r="B653" s="10" t="str">
        <f>IFERROR(
    INDEX([1]FSHIP!B:B,MATCH(A653,[1]FSHIP!A:A,0)),
    IFERROR(
        INDEX([1]釣具商品ship!B:B,MATCH(A653,[1]釣具商品ship!A:A,0)),
        IFERROR(
            INDEX([1]玩具商品ship!B:B,MATCH(A653,[1]玩具商品ship!A:A,0)),
            IFERROR(
                INDEX([1]OEMship!B:B,MATCH(A653,[1]OEMship!A:A,0)),
                IFERROR(
                    INDEX([1]NV6ship!B:B,MATCH(A653,[1]NV6ship!A:A,0)),
                    IFERROR(
                        INDEX([1]NVship!B:B,MATCH(A653,[1]NVship!A:A,0)),
                        IFERROR(
                            INDEX([1]海ship!B:B,MATCH(A653,[1]海ship!A:A,0)),
                            IFERROR(
                                INDEX([1]ｾﾚship!B:B,MATCH(A653,[1]ｾﾚship!A:A,0)),
                                IFERROR(
                                    INDEX([1]ｾﾚﾓﾆｰ商品ship!B:B,MATCH(A653,[1]ｾﾚﾓﾆｰ商品ship!A:A,0)),
                                    INDEX([2]NV!D:D,MATCH(A653,[2]NV!C:C,0))
                                )
                            )
                        )
                    )
                )
            )
        )
    )
)</f>
        <v>NEW ﾎﾟｱﾗｰ</v>
      </c>
      <c r="C653" s="16" t="s">
        <v>848</v>
      </c>
      <c r="D653" s="4" t="str">
        <f t="shared" si="30"/>
        <v>NEW ﾎﾟｱﾗｰ ｜ 2F【05】 ｜ B-1</v>
      </c>
      <c r="E653" s="11" t="str">
        <f t="shared" si="31"/>
        <v>2F</v>
      </c>
      <c r="F653" s="12" t="s">
        <v>803</v>
      </c>
      <c r="G653" s="11" t="str">
        <f t="shared" si="32"/>
        <v>05・2FB-1</v>
      </c>
    </row>
    <row r="654" spans="1:7" ht="15" customHeight="1" x14ac:dyDescent="0.2">
      <c r="A654" s="14" t="s">
        <v>767</v>
      </c>
      <c r="B654" s="10" t="str">
        <f>IFERROR(
    INDEX([1]FSHIP!B:B,MATCH(A654,[1]FSHIP!A:A,0)),
    IFERROR(
        INDEX([1]釣具商品ship!B:B,MATCH(A654,[1]釣具商品ship!A:A,0)),
        IFERROR(
            INDEX([1]玩具商品ship!B:B,MATCH(A654,[1]玩具商品ship!A:A,0)),
            IFERROR(
                INDEX([1]OEMship!B:B,MATCH(A654,[1]OEMship!A:A,0)),
                IFERROR(
                    INDEX([1]NV6ship!B:B,MATCH(A654,[1]NV6ship!A:A,0)),
                    IFERROR(
                        INDEX([1]NVship!B:B,MATCH(A654,[1]NVship!A:A,0)),
                        IFERROR(
                            INDEX([1]海ship!B:B,MATCH(A654,[1]海ship!A:A,0)),
                            IFERROR(
                                INDEX([1]ｾﾚship!B:B,MATCH(A654,[1]ｾﾚship!A:A,0)),
                                IFERROR(
                                    INDEX([1]ｾﾚﾓﾆｰ商品ship!B:B,MATCH(A654,[1]ｾﾚﾓﾆｰ商品ship!A:A,0)),
                                    INDEX([2]NV!D:D,MATCH(A654,[2]NV!C:C,0))
                                )
                            )
                        )
                    )
                )
            )
        )
    )
)</f>
        <v>DIVA</v>
      </c>
      <c r="C654" s="16" t="s">
        <v>799</v>
      </c>
      <c r="D654" s="4" t="str">
        <f t="shared" si="30"/>
        <v>DIVA ｜ 資材倉庫・2F【X99】 ｜ 2F</v>
      </c>
      <c r="E654" s="11" t="str">
        <f t="shared" si="31"/>
        <v>資材倉庫・2F</v>
      </c>
      <c r="F654" s="12" t="s">
        <v>748</v>
      </c>
      <c r="G654" s="11" t="str">
        <f t="shared" si="32"/>
        <v>X99・資材倉庫・2F2F</v>
      </c>
    </row>
    <row r="655" spans="1:7" ht="15" customHeight="1" x14ac:dyDescent="0.2">
      <c r="A655" s="14" t="s">
        <v>768</v>
      </c>
      <c r="B655" s="10" t="str">
        <f>IFERROR(
    INDEX([1]FSHIP!B:B,MATCH(A655,[1]FSHIP!A:A,0)),
    IFERROR(
        INDEX([1]釣具商品ship!B:B,MATCH(A655,[1]釣具商品ship!A:A,0)),
        IFERROR(
            INDEX([1]玩具商品ship!B:B,MATCH(A655,[1]玩具商品ship!A:A,0)),
            IFERROR(
                INDEX([1]OEMship!B:B,MATCH(A655,[1]OEMship!A:A,0)),
                IFERROR(
                    INDEX([1]NV6ship!B:B,MATCH(A655,[1]NV6ship!A:A,0)),
                    IFERROR(
                        INDEX([1]NVship!B:B,MATCH(A655,[1]NVship!A:A,0)),
                        IFERROR(
                            INDEX([1]海ship!B:B,MATCH(A655,[1]海ship!A:A,0)),
                            IFERROR(
                                INDEX([1]ｾﾚship!B:B,MATCH(A655,[1]ｾﾚship!A:A,0)),
                                IFERROR(
                                    INDEX([1]ｾﾚﾓﾆｰ商品ship!B:B,MATCH(A655,[1]ｾﾚﾓﾆｰ商品ship!A:A,0)),
                                    INDEX([2]NV!D:D,MATCH(A655,[2]NV!C:C,0))
                                )
                            )
                        )
                    )
                )
            )
        )
    )
)</f>
        <v>DIVA　ガラス筒</v>
      </c>
      <c r="C655" s="16" t="s">
        <v>799</v>
      </c>
      <c r="D655" s="4" t="str">
        <f t="shared" si="30"/>
        <v>DIVA　ガラス筒 ｜ 資材倉庫・2F【X99】 ｜ 2F</v>
      </c>
      <c r="E655" s="11" t="str">
        <f t="shared" si="31"/>
        <v>資材倉庫・2F</v>
      </c>
      <c r="F655" s="12" t="s">
        <v>748</v>
      </c>
      <c r="G655" s="11" t="str">
        <f t="shared" si="32"/>
        <v>X99・資材倉庫・2F2F</v>
      </c>
    </row>
    <row r="656" spans="1:7" ht="15" customHeight="1" x14ac:dyDescent="0.2">
      <c r="A656" s="14" t="s">
        <v>769</v>
      </c>
      <c r="B656" s="10" t="str">
        <f>IFERROR(
    INDEX([1]FSHIP!B:B,MATCH(A656,[1]FSHIP!A:A,0)),
    IFERROR(
        INDEX([1]釣具商品ship!B:B,MATCH(A656,[1]釣具商品ship!A:A,0)),
        IFERROR(
            INDEX([1]玩具商品ship!B:B,MATCH(A656,[1]玩具商品ship!A:A,0)),
            IFERROR(
                INDEX([1]OEMship!B:B,MATCH(A656,[1]OEMship!A:A,0)),
                IFERROR(
                    INDEX([1]NV6ship!B:B,MATCH(A656,[1]NV6ship!A:A,0)),
                    IFERROR(
                        INDEX([1]NVship!B:B,MATCH(A656,[1]NVship!A:A,0)),
                        IFERROR(
                            INDEX([1]海ship!B:B,MATCH(A656,[1]海ship!A:A,0)),
                            IFERROR(
                                INDEX([1]ｾﾚship!B:B,MATCH(A656,[1]ｾﾚship!A:A,0)),
                                IFERROR(
                                    INDEX([1]ｾﾚﾓﾆｰ商品ship!B:B,MATCH(A656,[1]ｾﾚﾓﾆｰ商品ship!A:A,0)),
                                    INDEX([2]NV!D:D,MATCH(A656,[2]NV!C:C,0))
                                )
                            )
                        )
                    )
                )
            )
        )
    )
)</f>
        <v>トリニティ　ストッパー付</v>
      </c>
      <c r="C656" s="16" t="s">
        <v>799</v>
      </c>
      <c r="D656" s="4" t="str">
        <f t="shared" si="30"/>
        <v>トリニティ　ストッパー付 ｜ 資材倉庫・2F【X99】 ｜ 2F</v>
      </c>
      <c r="E656" s="11" t="str">
        <f t="shared" si="31"/>
        <v>資材倉庫・2F</v>
      </c>
      <c r="F656" s="12" t="s">
        <v>748</v>
      </c>
      <c r="G656" s="11" t="str">
        <f t="shared" si="32"/>
        <v>X99・資材倉庫・2F2F</v>
      </c>
    </row>
    <row r="657" spans="1:7" ht="15" customHeight="1" x14ac:dyDescent="0.2">
      <c r="A657" s="14" t="s">
        <v>770</v>
      </c>
      <c r="B657" s="10" t="str">
        <f>IFERROR(
    INDEX([1]FSHIP!B:B,MATCH(A657,[1]FSHIP!A:A,0)),
    IFERROR(
        INDEX([1]釣具商品ship!B:B,MATCH(A657,[1]釣具商品ship!A:A,0)),
        IFERROR(
            INDEX([1]玩具商品ship!B:B,MATCH(A657,[1]玩具商品ship!A:A,0)),
            IFERROR(
                INDEX([1]OEMship!B:B,MATCH(A657,[1]OEMship!A:A,0)),
                IFERROR(
                    INDEX([1]NV6ship!B:B,MATCH(A657,[1]NV6ship!A:A,0)),
                    IFERROR(
                        INDEX([1]NVship!B:B,MATCH(A657,[1]NVship!A:A,0)),
                        IFERROR(
                            INDEX([1]海ship!B:B,MATCH(A657,[1]海ship!A:A,0)),
                            IFERROR(
                                INDEX([1]ｾﾚship!B:B,MATCH(A657,[1]ｾﾚship!A:A,0)),
                                IFERROR(
                                    INDEX([1]ｾﾚﾓﾆｰ商品ship!B:B,MATCH(A657,[1]ｾﾚﾓﾆｰ商品ship!A:A,0)),
                                    INDEX([2]NV!D:D,MATCH(A657,[2]NV!C:C,0))
                                )
                            )
                        )
                    )
                )
            )
        )
    )
)</f>
        <v>セレモニーポット</v>
      </c>
      <c r="C657" s="16" t="s">
        <v>799</v>
      </c>
      <c r="D657" s="4" t="str">
        <f t="shared" si="30"/>
        <v>セレモニーポット ｜ 資材倉庫・2F【X99】 ｜ 2F</v>
      </c>
      <c r="E657" s="11" t="str">
        <f t="shared" si="31"/>
        <v>資材倉庫・2F</v>
      </c>
      <c r="F657" s="12" t="s">
        <v>748</v>
      </c>
      <c r="G657" s="11" t="str">
        <f t="shared" si="32"/>
        <v>X99・資材倉庫・2F2F</v>
      </c>
    </row>
    <row r="658" spans="1:7" ht="15" customHeight="1" x14ac:dyDescent="0.2">
      <c r="A658" s="10" t="s">
        <v>537</v>
      </c>
      <c r="B658" s="10" t="str">
        <f>IFERROR(
    INDEX([1]FSHIP!B:B,MATCH(A658,[1]FSHIP!A:A,0)),
    IFERROR(
        INDEX([1]釣具商品ship!B:B,MATCH(A658,[1]釣具商品ship!A:A,0)),
        IFERROR(
            INDEX([1]玩具商品ship!B:B,MATCH(A658,[1]玩具商品ship!A:A,0)),
            IFERROR(
                INDEX([1]OEMship!B:B,MATCH(A658,[1]OEMship!A:A,0)),
                IFERROR(
                    INDEX([1]NV6ship!B:B,MATCH(A658,[1]NV6ship!A:A,0)),
                    IFERROR(
                        INDEX([1]NVship!B:B,MATCH(A658,[1]NVship!A:A,0)),
                        IFERROR(
                            INDEX([1]海ship!B:B,MATCH(A658,[1]海ship!A:A,0)),
                            IFERROR(
                                INDEX([1]ｾﾚship!B:B,MATCH(A658,[1]ｾﾚship!A:A,0)),
                                IFERROR(
                                    INDEX([1]ｾﾚﾓﾆｰ商品ship!B:B,MATCH(A658,[1]ｾﾚﾓﾆｰ商品ship!A:A,0)),
                                    INDEX([2]NV!D:D,MATCH(A658,[2]NV!C:C,0))
                                )
                            )
                        )
                    )
                )
            )
        )
    )
)</f>
        <v>パチパチライト 共通トップパーツ</v>
      </c>
      <c r="C658" s="4" t="s">
        <v>536</v>
      </c>
      <c r="D658" s="4" t="str">
        <f t="shared" si="30"/>
        <v>パチパチライト 共通トップパーツ ｜ 資材倉庫・ノベルティ【10】 ｜ R-1</v>
      </c>
      <c r="E658" s="11" t="str">
        <f t="shared" si="31"/>
        <v>資材倉庫・ノベルティ</v>
      </c>
      <c r="F658" s="12" t="s">
        <v>477</v>
      </c>
      <c r="G658" s="11" t="str">
        <f t="shared" si="32"/>
        <v>10・資材倉庫・ノベルティR-1</v>
      </c>
    </row>
    <row r="659" spans="1:7" ht="15" customHeight="1" x14ac:dyDescent="0.2">
      <c r="A659" s="10" t="s">
        <v>538</v>
      </c>
      <c r="B659" s="10" t="str">
        <f>IFERROR(
    INDEX([1]FSHIP!B:B,MATCH(A659,[1]FSHIP!A:A,0)),
    IFERROR(
        INDEX([1]釣具商品ship!B:B,MATCH(A659,[1]釣具商品ship!A:A,0)),
        IFERROR(
            INDEX([1]玩具商品ship!B:B,MATCH(A659,[1]玩具商品ship!A:A,0)),
            IFERROR(
                INDEX([1]OEMship!B:B,MATCH(A659,[1]OEMship!A:A,0)),
                IFERROR(
                    INDEX([1]NV6ship!B:B,MATCH(A659,[1]NV6ship!A:A,0)),
                    IFERROR(
                        INDEX([1]NVship!B:B,MATCH(A659,[1]NVship!A:A,0)),
                        IFERROR(
                            INDEX([1]海ship!B:B,MATCH(A659,[1]海ship!A:A,0)),
                            IFERROR(
                                INDEX([1]ｾﾚship!B:B,MATCH(A659,[1]ｾﾚship!A:A,0)),
                                IFERROR(
                                    INDEX([1]ｾﾚﾓﾆｰ商品ship!B:B,MATCH(A659,[1]ｾﾚﾓﾆｰ商品ship!A:A,0)),
                                    INDEX([2]NV!D:D,MATCH(A659,[2]NV!C:C,0))
                                )
                            )
                        )
                    )
                )
            )
        )
    )
)</f>
        <v>ラウンドライト 共通トップパーツ</v>
      </c>
      <c r="C659" s="4" t="s">
        <v>536</v>
      </c>
      <c r="D659" s="4" t="str">
        <f t="shared" si="30"/>
        <v>ラウンドライト 共通トップパーツ ｜ 資材倉庫・ノベルティ【10】 ｜ R-1</v>
      </c>
      <c r="E659" s="11" t="str">
        <f t="shared" si="31"/>
        <v>資材倉庫・ノベルティ</v>
      </c>
      <c r="F659" s="12" t="s">
        <v>477</v>
      </c>
      <c r="G659" s="11" t="str">
        <f t="shared" si="32"/>
        <v>10・資材倉庫・ノベルティR-1</v>
      </c>
    </row>
    <row r="660" spans="1:7" ht="15" customHeight="1" x14ac:dyDescent="0.2">
      <c r="A660" s="10" t="s">
        <v>539</v>
      </c>
      <c r="B660" s="10" t="str">
        <f>IFERROR(
    INDEX([1]FSHIP!B:B,MATCH(A660,[1]FSHIP!A:A,0)),
    IFERROR(
        INDEX([1]釣具商品ship!B:B,MATCH(A660,[1]釣具商品ship!A:A,0)),
        IFERROR(
            INDEX([1]玩具商品ship!B:B,MATCH(A660,[1]玩具商品ship!A:A,0)),
            IFERROR(
                INDEX([1]OEMship!B:B,MATCH(A660,[1]OEMship!A:A,0)),
                IFERROR(
                    INDEX([1]NV6ship!B:B,MATCH(A660,[1]NV6ship!A:A,0)),
                    IFERROR(
                        INDEX([1]NVship!B:B,MATCH(A660,[1]NVship!A:A,0)),
                        IFERROR(
                            INDEX([1]海ship!B:B,MATCH(A660,[1]海ship!A:A,0)),
                            IFERROR(
                                INDEX([1]ｾﾚship!B:B,MATCH(A660,[1]ｾﾚship!A:A,0)),
                                IFERROR(
                                    INDEX([1]ｾﾚﾓﾆｰ商品ship!B:B,MATCH(A660,[1]ｾﾚﾓﾆｰ商品ship!A:A,0)),
                                    INDEX([2]NV!D:D,MATCH(A660,[2]NV!C:C,0))
                                )
                            )
                        )
                    )
                )
            )
        )
    )
)</f>
        <v>ハートペンライト　共通トップパーツ</v>
      </c>
      <c r="C660" s="4" t="s">
        <v>536</v>
      </c>
      <c r="D660" s="4" t="str">
        <f t="shared" si="30"/>
        <v>ハートペンライト　共通トップパーツ ｜ 資材倉庫・ノベルティ【10】 ｜ R-1</v>
      </c>
      <c r="E660" s="11" t="str">
        <f t="shared" si="31"/>
        <v>資材倉庫・ノベルティ</v>
      </c>
      <c r="F660" s="12" t="s">
        <v>477</v>
      </c>
      <c r="G660" s="11" t="str">
        <f t="shared" si="32"/>
        <v>10・資材倉庫・ノベルティR-1</v>
      </c>
    </row>
    <row r="661" spans="1:7" ht="15" customHeight="1" x14ac:dyDescent="0.2">
      <c r="A661" s="10" t="s">
        <v>519</v>
      </c>
      <c r="B661" s="10" t="str">
        <f>IFERROR(
    INDEX([1]FSHIP!B:B,MATCH(A661,[1]FSHIP!A:A,0)),
    IFERROR(
        INDEX([1]釣具商品ship!B:B,MATCH(A661,[1]釣具商品ship!A:A,0)),
        IFERROR(
            INDEX([1]玩具商品ship!B:B,MATCH(A661,[1]玩具商品ship!A:A,0)),
            IFERROR(
                INDEX([1]OEMship!B:B,MATCH(A661,[1]OEMship!A:A,0)),
                IFERROR(
                    INDEX([1]NV6ship!B:B,MATCH(A661,[1]NV6ship!A:A,0)),
                    IFERROR(
                        INDEX([1]NVship!B:B,MATCH(A661,[1]NVship!A:A,0)),
                        IFERROR(
                            INDEX([1]海ship!B:B,MATCH(A661,[1]海ship!A:A,0)),
                            IFERROR(
                                INDEX([1]ｾﾚship!B:B,MATCH(A661,[1]ｾﾚship!A:A,0)),
                                IFERROR(
                                    INDEX([1]ｾﾚﾓﾆｰ商品ship!B:B,MATCH(A661,[1]ｾﾚﾓﾆｰ商品ship!A:A,0)),
                                    INDEX([2]NV!D:D,MATCH(A661,[2]NV!C:C,0))
                                )
                            )
                        )
                    )
                )
            )
        )
    )
)</f>
        <v>大閃光ブレード スリムSP 本体</v>
      </c>
      <c r="C661" s="4" t="s">
        <v>529</v>
      </c>
      <c r="D661" s="4" t="str">
        <f t="shared" si="30"/>
        <v>大閃光ブレード スリムSP 本体 ｜ 資材倉庫・ノベルティ【10】 ｜ Q-1</v>
      </c>
      <c r="E661" s="11" t="str">
        <f t="shared" si="31"/>
        <v>資材倉庫・ノベルティ</v>
      </c>
      <c r="F661" s="12" t="s">
        <v>477</v>
      </c>
      <c r="G661" s="11" t="str">
        <f t="shared" si="32"/>
        <v>10・資材倉庫・ノベルティQ-1</v>
      </c>
    </row>
    <row r="662" spans="1:7" ht="15" customHeight="1" x14ac:dyDescent="0.2">
      <c r="A662" s="10" t="s">
        <v>520</v>
      </c>
      <c r="B662" s="10" t="str">
        <f>IFERROR(
    INDEX([1]FSHIP!B:B,MATCH(A662,[1]FSHIP!A:A,0)),
    IFERROR(
        INDEX([1]釣具商品ship!B:B,MATCH(A662,[1]釣具商品ship!A:A,0)),
        IFERROR(
            INDEX([1]玩具商品ship!B:B,MATCH(A662,[1]玩具商品ship!A:A,0)),
            IFERROR(
                INDEX([1]OEMship!B:B,MATCH(A662,[1]OEMship!A:A,0)),
                IFERROR(
                    INDEX([1]NV6ship!B:B,MATCH(A662,[1]NV6ship!A:A,0)),
                    IFERROR(
                        INDEX([1]NVship!B:B,MATCH(A662,[1]NVship!A:A,0)),
                        IFERROR(
                            INDEX([1]海ship!B:B,MATCH(A662,[1]海ship!A:A,0)),
                            IFERROR(
                                INDEX([1]ｾﾚship!B:B,MATCH(A662,[1]ｾﾚship!A:A,0)),
                                IFERROR(
                                    INDEX([1]ｾﾚﾓﾆｰ商品ship!B:B,MATCH(A662,[1]ｾﾚﾓﾆｰ商品ship!A:A,0)),
                                    INDEX([2]NV!D:D,MATCH(A662,[2]NV!C:C,0))
                                )
                            )
                        )
                    )
                )
            )
        )
    )
)</f>
        <v>大閃光ブレード スリムSP Top Cover</v>
      </c>
      <c r="C662" s="4" t="s">
        <v>529</v>
      </c>
      <c r="D662" s="4" t="str">
        <f t="shared" si="30"/>
        <v>大閃光ブレード スリムSP Top Cover ｜ 資材倉庫・ノベルティ【10】 ｜ Q-1</v>
      </c>
      <c r="E662" s="11" t="str">
        <f t="shared" si="31"/>
        <v>資材倉庫・ノベルティ</v>
      </c>
      <c r="F662" s="12" t="s">
        <v>477</v>
      </c>
      <c r="G662" s="11" t="str">
        <f t="shared" si="32"/>
        <v>10・資材倉庫・ノベルティQ-1</v>
      </c>
    </row>
    <row r="663" spans="1:7" ht="15" customHeight="1" x14ac:dyDescent="0.2">
      <c r="A663" s="10" t="s">
        <v>521</v>
      </c>
      <c r="B663" s="10" t="str">
        <f>IFERROR(
    INDEX([1]FSHIP!B:B,MATCH(A663,[1]FSHIP!A:A,0)),
    IFERROR(
        INDEX([1]釣具商品ship!B:B,MATCH(A663,[1]釣具商品ship!A:A,0)),
        IFERROR(
            INDEX([1]玩具商品ship!B:B,MATCH(A663,[1]玩具商品ship!A:A,0)),
            IFERROR(
                INDEX([1]OEMship!B:B,MATCH(A663,[1]OEMship!A:A,0)),
                IFERROR(
                    INDEX([1]NV6ship!B:B,MATCH(A663,[1]NV6ship!A:A,0)),
                    IFERROR(
                        INDEX([1]NVship!B:B,MATCH(A663,[1]NVship!A:A,0)),
                        IFERROR(
                            INDEX([1]海ship!B:B,MATCH(A663,[1]海ship!A:A,0)),
                            IFERROR(
                                INDEX([1]ｾﾚship!B:B,MATCH(A663,[1]ｾﾚship!A:A,0)),
                                IFERROR(
                                    INDEX([1]ｾﾚﾓﾆｰ商品ship!B:B,MATCH(A663,[1]ｾﾚﾓﾆｰ商品ship!A:A,0)),
                                    INDEX([2]NV!D:D,MATCH(A663,[2]NV!C:C,0))
                                )
                            )
                        )
                    )
                )
            )
        )
    )
)</f>
        <v>大閃光ブレード スリムSP フィルム</v>
      </c>
      <c r="C663" s="4" t="s">
        <v>529</v>
      </c>
      <c r="D663" s="4" t="str">
        <f t="shared" si="30"/>
        <v>大閃光ブレード スリムSP フィルム ｜ 資材倉庫・ノベルティ【10】 ｜ Q-1</v>
      </c>
      <c r="E663" s="11" t="str">
        <f t="shared" si="31"/>
        <v>資材倉庫・ノベルティ</v>
      </c>
      <c r="F663" s="12" t="s">
        <v>477</v>
      </c>
      <c r="G663" s="11" t="str">
        <f t="shared" si="32"/>
        <v>10・資材倉庫・ノベルティQ-1</v>
      </c>
    </row>
    <row r="664" spans="1:7" ht="15" customHeight="1" x14ac:dyDescent="0.2">
      <c r="A664" s="10" t="s">
        <v>522</v>
      </c>
      <c r="B664" s="10" t="str">
        <f>IFERROR(
    INDEX([1]FSHIP!B:B,MATCH(A664,[1]FSHIP!A:A,0)),
    IFERROR(
        INDEX([1]釣具商品ship!B:B,MATCH(A664,[1]釣具商品ship!A:A,0)),
        IFERROR(
            INDEX([1]玩具商品ship!B:B,MATCH(A664,[1]玩具商品ship!A:A,0)),
            IFERROR(
                INDEX([1]OEMship!B:B,MATCH(A664,[1]OEMship!A:A,0)),
                IFERROR(
                    INDEX([1]NV6ship!B:B,MATCH(A664,[1]NV6ship!A:A,0)),
                    IFERROR(
                        INDEX([1]NVship!B:B,MATCH(A664,[1]NVship!A:A,0)),
                        IFERROR(
                            INDEX([1]海ship!B:B,MATCH(A664,[1]海ship!A:A,0)),
                            IFERROR(
                                INDEX([1]ｾﾚship!B:B,MATCH(A664,[1]ｾﾚship!A:A,0)),
                                IFERROR(
                                    INDEX([1]ｾﾚﾓﾆｰ商品ship!B:B,MATCH(A664,[1]ｾﾚﾓﾆｰ商品ship!A:A,0)),
                                    INDEX([2]NV!D:D,MATCH(A664,[2]NV!C:C,0))
                                )
                            )
                        )
                    )
                )
            )
        )
    )
)</f>
        <v>大閃光ブレード スリムSP 導光棒</v>
      </c>
      <c r="C664" s="4" t="s">
        <v>529</v>
      </c>
      <c r="D664" s="4" t="str">
        <f t="shared" si="30"/>
        <v>大閃光ブレード スリムSP 導光棒 ｜ 資材倉庫・ノベルティ【10】 ｜ Q-1</v>
      </c>
      <c r="E664" s="11" t="str">
        <f t="shared" si="31"/>
        <v>資材倉庫・ノベルティ</v>
      </c>
      <c r="F664" s="12" t="s">
        <v>477</v>
      </c>
      <c r="G664" s="11" t="str">
        <f t="shared" si="32"/>
        <v>10・資材倉庫・ノベルティQ-1</v>
      </c>
    </row>
    <row r="665" spans="1:7" ht="15" customHeight="1" x14ac:dyDescent="0.2">
      <c r="A665" s="14" t="s">
        <v>713</v>
      </c>
      <c r="B665" s="10" t="str">
        <f>IFERROR(
    INDEX([1]FSHIP!B:B,MATCH(A665,[1]FSHIP!A:A,0)),
    IFERROR(
        INDEX([1]釣具商品ship!B:B,MATCH(A665,[1]釣具商品ship!A:A,0)),
        IFERROR(
            INDEX([1]玩具商品ship!B:B,MATCH(A665,[1]玩具商品ship!A:A,0)),
            IFERROR(
                INDEX([1]OEMship!B:B,MATCH(A665,[1]OEMship!A:A,0)),
                IFERROR(
                    INDEX([1]NV6ship!B:B,MATCH(A665,[1]NV6ship!A:A,0)),
                    IFERROR(
                        INDEX([1]NVship!B:B,MATCH(A665,[1]NVship!A:A,0)),
                        IFERROR(
                            INDEX([1]海ship!B:B,MATCH(A665,[1]海ship!A:A,0)),
                            IFERROR(
                                INDEX([1]ｾﾚship!B:B,MATCH(A665,[1]ｾﾚship!A:A,0)),
                                IFERROR(
                                    INDEX([1]ｾﾚﾓﾆｰ商品ship!B:B,MATCH(A665,[1]ｾﾚﾓﾆｰ商品ship!A:A,0)),
                                    INDEX([2]NV!D:D,MATCH(A665,[2]NV!C:C,0))
                                )
                            )
                        )
                    )
                )
            )
        )
    )
)</f>
        <v>大閃光ブレード グリップ</v>
      </c>
      <c r="C665" s="16" t="s">
        <v>472</v>
      </c>
      <c r="D665" s="4" t="str">
        <f t="shared" si="30"/>
        <v>大閃光ブレード グリップ ｜ テント倉庫【01】 ｜ A-1</v>
      </c>
      <c r="E665" s="11" t="str">
        <f t="shared" si="31"/>
        <v>テント倉庫</v>
      </c>
      <c r="F665" s="12" t="s">
        <v>721</v>
      </c>
      <c r="G665" s="11" t="str">
        <f t="shared" si="32"/>
        <v>01・テント倉庫A-1</v>
      </c>
    </row>
    <row r="666" spans="1:7" ht="15" customHeight="1" x14ac:dyDescent="0.2">
      <c r="A666" s="14" t="s">
        <v>711</v>
      </c>
      <c r="B666" s="10" t="str">
        <f>IFERROR(
    INDEX([1]FSHIP!B:B,MATCH(A666,[1]FSHIP!A:A,0)),
    IFERROR(
        INDEX([1]釣具商品ship!B:B,MATCH(A666,[1]釣具商品ship!A:A,0)),
        IFERROR(
            INDEX([1]玩具商品ship!B:B,MATCH(A666,[1]玩具商品ship!A:A,0)),
            IFERROR(
                INDEX([1]OEMship!B:B,MATCH(A666,[1]OEMship!A:A,0)),
                IFERROR(
                    INDEX([1]NV6ship!B:B,MATCH(A666,[1]NV6ship!A:A,0)),
                    IFERROR(
                        INDEX([1]NVship!B:B,MATCH(A666,[1]NVship!A:A,0)),
                        IFERROR(
                            INDEX([1]海ship!B:B,MATCH(A666,[1]海ship!A:A,0)),
                            IFERROR(
                                INDEX([1]ｾﾚship!B:B,MATCH(A666,[1]ｾﾚship!A:A,0)),
                                IFERROR(
                                    INDEX([1]ｾﾚﾓﾆｰ商品ship!B:B,MATCH(A666,[1]ｾﾚﾓﾆｰ商品ship!A:A,0)),
                                    INDEX([2]NV!D:D,MATCH(A666,[2]NV!C:C,0))
                                )
                            )
                        )
                    )
                )
            )
        )
    )
)</f>
        <v>大閃光ブレード グリップ（黒）</v>
      </c>
      <c r="C666" s="16" t="s">
        <v>472</v>
      </c>
      <c r="D666" s="4" t="str">
        <f t="shared" si="30"/>
        <v>大閃光ブレード グリップ（黒） ｜ テント倉庫【01】 ｜ A-1</v>
      </c>
      <c r="E666" s="11" t="str">
        <f t="shared" si="31"/>
        <v>テント倉庫</v>
      </c>
      <c r="F666" s="12" t="s">
        <v>721</v>
      </c>
      <c r="G666" s="11" t="str">
        <f t="shared" si="32"/>
        <v>01・テント倉庫A-1</v>
      </c>
    </row>
    <row r="667" spans="1:7" ht="15" customHeight="1" x14ac:dyDescent="0.2">
      <c r="A667" s="14" t="s">
        <v>714</v>
      </c>
      <c r="B667" s="10" t="str">
        <f>IFERROR(
    INDEX([1]FSHIP!B:B,MATCH(A667,[1]FSHIP!A:A,0)),
    IFERROR(
        INDEX([1]釣具商品ship!B:B,MATCH(A667,[1]釣具商品ship!A:A,0)),
        IFERROR(
            INDEX([1]玩具商品ship!B:B,MATCH(A667,[1]玩具商品ship!A:A,0)),
            IFERROR(
                INDEX([1]OEMship!B:B,MATCH(A667,[1]OEMship!A:A,0)),
                IFERROR(
                    INDEX([1]NV6ship!B:B,MATCH(A667,[1]NV6ship!A:A,0)),
                    IFERROR(
                        INDEX([1]NVship!B:B,MATCH(A667,[1]NVship!A:A,0)),
                        IFERROR(
                            INDEX([1]海ship!B:B,MATCH(A667,[1]海ship!A:A,0)),
                            IFERROR(
                                INDEX([1]ｾﾚship!B:B,MATCH(A667,[1]ｾﾚship!A:A,0)),
                                IFERROR(
                                    INDEX([1]ｾﾚﾓﾆｰ商品ship!B:B,MATCH(A667,[1]ｾﾚﾓﾆｰ商品ship!A:A,0)),
                                    INDEX([2]NV!D:D,MATCH(A667,[2]NV!C:C,0))
                                )
                            )
                        )
                    )
                )
            )
        )
    )
)</f>
        <v>Lumi-Airグリップ(白)</v>
      </c>
      <c r="C667" s="16" t="s">
        <v>472</v>
      </c>
      <c r="D667" s="4" t="str">
        <f t="shared" si="30"/>
        <v>Lumi-Airグリップ(白) ｜ テント倉庫【01】 ｜ A-1</v>
      </c>
      <c r="E667" s="11" t="str">
        <f t="shared" si="31"/>
        <v>テント倉庫</v>
      </c>
      <c r="F667" s="12" t="s">
        <v>721</v>
      </c>
      <c r="G667" s="11" t="str">
        <f t="shared" si="32"/>
        <v>01・テント倉庫A-1</v>
      </c>
    </row>
    <row r="668" spans="1:7" ht="15" customHeight="1" x14ac:dyDescent="0.2">
      <c r="A668" s="14" t="s">
        <v>771</v>
      </c>
      <c r="B668" s="10" t="str">
        <f>IFERROR(
    INDEX([1]FSHIP!B:B,MATCH(A668,[1]FSHIP!A:A,0)),
    IFERROR(
        INDEX([1]釣具商品ship!B:B,MATCH(A668,[1]釣具商品ship!A:A,0)),
        IFERROR(
            INDEX([1]玩具商品ship!B:B,MATCH(A668,[1]玩具商品ship!A:A,0)),
            IFERROR(
                INDEX([1]OEMship!B:B,MATCH(A668,[1]OEMship!A:A,0)),
                IFERROR(
                    INDEX([1]NV6ship!B:B,MATCH(A668,[1]NV6ship!A:A,0)),
                    IFERROR(
                        INDEX([1]NVship!B:B,MATCH(A668,[1]NVship!A:A,0)),
                        IFERROR(
                            INDEX([1]海ship!B:B,MATCH(A668,[1]海ship!A:A,0)),
                            IFERROR(
                                INDEX([1]ｾﾚship!B:B,MATCH(A668,[1]ｾﾚship!A:A,0)),
                                IFERROR(
                                    INDEX([1]ｾﾚﾓﾆｰ商品ship!B:B,MATCH(A668,[1]ｾﾚﾓﾆｰ商品ship!A:A,0)),
                                    INDEX([2]NV!D:D,MATCH(A668,[2]NV!C:C,0))
                                )
                            )
                        )
                    )
                )
            )
        )
    )
)</f>
        <v>UOじゃない！大閃光だ！ﾀｵﾙ　ｵﾚﾝｼﾞ</v>
      </c>
      <c r="C668" s="16" t="s">
        <v>799</v>
      </c>
      <c r="D668" s="4" t="str">
        <f t="shared" si="30"/>
        <v>UOじゃない！大閃光だ！ﾀｵﾙ　ｵﾚﾝｼﾞ ｜ 資材倉庫・2F【X99】 ｜ 2F</v>
      </c>
      <c r="E668" s="11" t="str">
        <f t="shared" si="31"/>
        <v>資材倉庫・2F</v>
      </c>
      <c r="F668" s="12" t="s">
        <v>748</v>
      </c>
      <c r="G668" s="11" t="str">
        <f t="shared" si="32"/>
        <v>X99・資材倉庫・2F2F</v>
      </c>
    </row>
    <row r="669" spans="1:7" ht="15" customHeight="1" x14ac:dyDescent="0.2">
      <c r="A669" s="14" t="s">
        <v>772</v>
      </c>
      <c r="B669" s="10" t="str">
        <f>IFERROR(
    INDEX([1]FSHIP!B:B,MATCH(A669,[1]FSHIP!A:A,0)),
    IFERROR(
        INDEX([1]釣具商品ship!B:B,MATCH(A669,[1]釣具商品ship!A:A,0)),
        IFERROR(
            INDEX([1]玩具商品ship!B:B,MATCH(A669,[1]玩具商品ship!A:A,0)),
            IFERROR(
                INDEX([1]OEMship!B:B,MATCH(A669,[1]OEMship!A:A,0)),
                IFERROR(
                    INDEX([1]NV6ship!B:B,MATCH(A669,[1]NV6ship!A:A,0)),
                    IFERROR(
                        INDEX([1]NVship!B:B,MATCH(A669,[1]NVship!A:A,0)),
                        IFERROR(
                            INDEX([1]海ship!B:B,MATCH(A669,[1]海ship!A:A,0)),
                            IFERROR(
                                INDEX([1]ｾﾚship!B:B,MATCH(A669,[1]ｾﾚship!A:A,0)),
                                IFERROR(
                                    INDEX([1]ｾﾚﾓﾆｰ商品ship!B:B,MATCH(A669,[1]ｾﾚﾓﾆｰ商品ship!A:A,0)),
                                    INDEX([2]NV!D:D,MATCH(A669,[2]NV!C:C,0))
                                )
                            )
                        )
                    )
                )
            )
        )
    )
)</f>
        <v>UOじゃない！大閃光だ！ﾀｵﾙ　紺</v>
      </c>
      <c r="C669" s="16" t="s">
        <v>799</v>
      </c>
      <c r="D669" s="4" t="str">
        <f t="shared" si="30"/>
        <v>UOじゃない！大閃光だ！ﾀｵﾙ　紺 ｜ 資材倉庫・2F【X99】 ｜ 2F</v>
      </c>
      <c r="E669" s="11" t="str">
        <f t="shared" si="31"/>
        <v>資材倉庫・2F</v>
      </c>
      <c r="F669" s="12" t="s">
        <v>748</v>
      </c>
      <c r="G669" s="11" t="str">
        <f t="shared" si="32"/>
        <v>X99・資材倉庫・2F2F</v>
      </c>
    </row>
    <row r="670" spans="1:7" ht="15" customHeight="1" x14ac:dyDescent="0.2">
      <c r="A670" s="14" t="s">
        <v>773</v>
      </c>
      <c r="B670" s="10" t="str">
        <f>IFERROR(
    INDEX([1]FSHIP!B:B,MATCH(A670,[1]FSHIP!A:A,0)),
    IFERROR(
        INDEX([1]釣具商品ship!B:B,MATCH(A670,[1]釣具商品ship!A:A,0)),
        IFERROR(
            INDEX([1]玩具商品ship!B:B,MATCH(A670,[1]玩具商品ship!A:A,0)),
            IFERROR(
                INDEX([1]OEMship!B:B,MATCH(A670,[1]OEMship!A:A,0)),
                IFERROR(
                    INDEX([1]NV6ship!B:B,MATCH(A670,[1]NV6ship!A:A,0)),
                    IFERROR(
                        INDEX([1]NVship!B:B,MATCH(A670,[1]NVship!A:A,0)),
                        IFERROR(
                            INDEX([1]海ship!B:B,MATCH(A670,[1]海ship!A:A,0)),
                            IFERROR(
                                INDEX([1]ｾﾚship!B:B,MATCH(A670,[1]ｾﾚship!A:A,0)),
                                IFERROR(
                                    INDEX([1]ｾﾚﾓﾆｰ商品ship!B:B,MATCH(A670,[1]ｾﾚﾓﾆｰ商品ship!A:A,0)),
                                    INDEX([2]NV!D:D,MATCH(A670,[2]NV!C:C,0))
                                )
                            )
                        )
                    )
                )
            )
        )
    )
)</f>
        <v>UOじゃない！大閃光だ！ﾀｵﾙ　白</v>
      </c>
      <c r="C670" s="16" t="s">
        <v>799</v>
      </c>
      <c r="D670" s="4" t="str">
        <f t="shared" si="30"/>
        <v>UOじゃない！大閃光だ！ﾀｵﾙ　白 ｜ 資材倉庫・2F【X99】 ｜ 2F</v>
      </c>
      <c r="E670" s="11" t="str">
        <f t="shared" si="31"/>
        <v>資材倉庫・2F</v>
      </c>
      <c r="F670" s="12" t="s">
        <v>748</v>
      </c>
      <c r="G670" s="11" t="str">
        <f t="shared" si="32"/>
        <v>X99・資材倉庫・2F2F</v>
      </c>
    </row>
    <row r="671" spans="1:7" ht="15" customHeight="1" x14ac:dyDescent="0.2">
      <c r="A671" s="10" t="s">
        <v>523</v>
      </c>
      <c r="B671" s="10" t="str">
        <f>IFERROR(
    INDEX([1]FSHIP!B:B,MATCH(A671,[1]FSHIP!A:A,0)),
    IFERROR(
        INDEX([1]釣具商品ship!B:B,MATCH(A671,[1]釣具商品ship!A:A,0)),
        IFERROR(
            INDEX([1]玩具商品ship!B:B,MATCH(A671,[1]玩具商品ship!A:A,0)),
            IFERROR(
                INDEX([1]OEMship!B:B,MATCH(A671,[1]OEMship!A:A,0)),
                IFERROR(
                    INDEX([1]NV6ship!B:B,MATCH(A671,[1]NV6ship!A:A,0)),
                    IFERROR(
                        INDEX([1]NVship!B:B,MATCH(A671,[1]NVship!A:A,0)),
                        IFERROR(
                            INDEX([1]海ship!B:B,MATCH(A671,[1]海ship!A:A,0)),
                            IFERROR(
                                INDEX([1]ｾﾚship!B:B,MATCH(A671,[1]ｾﾚship!A:A,0)),
                                IFERROR(
                                    INDEX([1]ｾﾚﾓﾆｰ商品ship!B:B,MATCH(A671,[1]ｾﾚﾓﾆｰ商品ship!A:A,0)),
                                    INDEX([2]NV!D:D,MATCH(A671,[2]NV!C:C,0))
                                )
                            )
                        )
                    )
                )
            )
        )
    )
)</f>
        <v>ﾙﾐｴｰｽDIAL(ﾀﾞｲｱﾙ) ｵｰﾛﾗﾎﾜｲﾄ</v>
      </c>
      <c r="C671" s="4" t="s">
        <v>529</v>
      </c>
      <c r="D671" s="4" t="str">
        <f t="shared" si="30"/>
        <v>ﾙﾐｴｰｽDIAL(ﾀﾞｲｱﾙ) ｵｰﾛﾗﾎﾜｲﾄ ｜ 資材倉庫・ノベルティ【10】 ｜ Q-1</v>
      </c>
      <c r="E671" s="11" t="str">
        <f t="shared" si="31"/>
        <v>資材倉庫・ノベルティ</v>
      </c>
      <c r="F671" s="12" t="s">
        <v>477</v>
      </c>
      <c r="G671" s="11" t="str">
        <f t="shared" si="32"/>
        <v>10・資材倉庫・ノベルティQ-1</v>
      </c>
    </row>
    <row r="672" spans="1:7" ht="15" customHeight="1" x14ac:dyDescent="0.2">
      <c r="A672" s="10" t="s">
        <v>460</v>
      </c>
      <c r="B672" s="10" t="str">
        <f>IFERROR(
    INDEX([1]FSHIP!B:B,MATCH(A672,[1]FSHIP!A:A,0)),
    IFERROR(
        INDEX([1]釣具商品ship!B:B,MATCH(A672,[1]釣具商品ship!A:A,0)),
        IFERROR(
            INDEX([1]玩具商品ship!B:B,MATCH(A672,[1]玩具商品ship!A:A,0)),
            IFERROR(
                INDEX([1]OEMship!B:B,MATCH(A672,[1]OEMship!A:A,0)),
                IFERROR(
                    INDEX([1]NV6ship!B:B,MATCH(A672,[1]NV6ship!A:A,0)),
                    IFERROR(
                        INDEX([1]NVship!B:B,MATCH(A672,[1]NVship!A:A,0)),
                        IFERROR(
                            INDEX([1]海ship!B:B,MATCH(A672,[1]海ship!A:A,0)),
                            IFERROR(
                                INDEX([1]ｾﾚship!B:B,MATCH(A672,[1]ｾﾚship!A:A,0)),
                                IFERROR(
                                    INDEX([1]ｾﾚﾓﾆｰ商品ship!B:B,MATCH(A672,[1]ｾﾚﾓﾆｰ商品ship!A:A,0)),
                                    INDEX([2]NV!D:D,MATCH(A672,[2]NV!C:C,0))
                                )
                            )
                        )
                    )
                )
            )
        )
    )
)</f>
        <v>推しが輝くLEDﾃﾞｨｽﾌﾟﾚｲｹｰｽ</v>
      </c>
      <c r="C672" s="4" t="s">
        <v>457</v>
      </c>
      <c r="D672" s="10" t="str">
        <f t="shared" si="30"/>
        <v>推しが輝くLEDﾃﾞｨｽﾌﾟﾚｲｹｰｽ ｜ 1Fノベルティ【03】 ｜ D-1</v>
      </c>
      <c r="E672" s="11" t="str">
        <f t="shared" si="31"/>
        <v>1Fノベルティ</v>
      </c>
      <c r="F672" s="12" t="s">
        <v>367</v>
      </c>
      <c r="G672" s="11" t="str">
        <f t="shared" si="32"/>
        <v>03・1FノベルティD-1</v>
      </c>
    </row>
    <row r="673" spans="1:7" ht="15" customHeight="1" x14ac:dyDescent="0.2">
      <c r="A673" s="10" t="s">
        <v>466</v>
      </c>
      <c r="B673" s="10" t="str">
        <f>IFERROR(
    INDEX([1]FSHIP!B:B,MATCH(A673,[1]FSHIP!A:A,0)),
    IFERROR(
        INDEX([1]釣具商品ship!B:B,MATCH(A673,[1]釣具商品ship!A:A,0)),
        IFERROR(
            INDEX([1]玩具商品ship!B:B,MATCH(A673,[1]玩具商品ship!A:A,0)),
            IFERROR(
                INDEX([1]OEMship!B:B,MATCH(A673,[1]OEMship!A:A,0)),
                IFERROR(
                    INDEX([1]NV6ship!B:B,MATCH(A673,[1]NV6ship!A:A,0)),
                    IFERROR(
                        INDEX([1]NVship!B:B,MATCH(A673,[1]NVship!A:A,0)),
                        IFERROR(
                            INDEX([1]海ship!B:B,MATCH(A673,[1]海ship!A:A,0)),
                            IFERROR(
                                INDEX([1]ｾﾚship!B:B,MATCH(A673,[1]ｾﾚship!A:A,0)),
                                IFERROR(
                                    INDEX([1]ｾﾚﾓﾆｰ商品ship!B:B,MATCH(A673,[1]ｾﾚﾓﾆｰ商品ship!A:A,0)),
                                    INDEX([2]NV!D:D,MATCH(A673,[2]NV!C:C,0))
                                )
                            )
                        )
                    )
                )
            )
        )
    )
)</f>
        <v>てくてくザウルス (T・レックス)</v>
      </c>
      <c r="C673" s="4" t="s">
        <v>472</v>
      </c>
      <c r="D673" s="10" t="str">
        <f t="shared" si="30"/>
        <v>てくてくザウルス (T・レックス) ｜ 資材倉庫・ノベルティ【10】 ｜ A-1</v>
      </c>
      <c r="E673" s="11" t="str">
        <f t="shared" si="31"/>
        <v>資材倉庫・ノベルティ</v>
      </c>
      <c r="F673" s="12" t="s">
        <v>473</v>
      </c>
      <c r="G673" s="11" t="str">
        <f t="shared" si="32"/>
        <v>10・資材倉庫・ノベルティA-1</v>
      </c>
    </row>
    <row r="674" spans="1:7" ht="15" customHeight="1" x14ac:dyDescent="0.2">
      <c r="A674" s="10" t="s">
        <v>461</v>
      </c>
      <c r="B674" s="10" t="str">
        <f>IFERROR(
    INDEX([1]FSHIP!B:B,MATCH(A674,[1]FSHIP!A:A,0)),
    IFERROR(
        INDEX([1]釣具商品ship!B:B,MATCH(A674,[1]釣具商品ship!A:A,0)),
        IFERROR(
            INDEX([1]玩具商品ship!B:B,MATCH(A674,[1]玩具商品ship!A:A,0)),
            IFERROR(
                INDEX([1]OEMship!B:B,MATCH(A674,[1]OEMship!A:A,0)),
                IFERROR(
                    INDEX([1]NV6ship!B:B,MATCH(A674,[1]NV6ship!A:A,0)),
                    IFERROR(
                        INDEX([1]NVship!B:B,MATCH(A674,[1]NVship!A:A,0)),
                        IFERROR(
                            INDEX([1]海ship!B:B,MATCH(A674,[1]海ship!A:A,0)),
                            IFERROR(
                                INDEX([1]ｾﾚship!B:B,MATCH(A674,[1]ｾﾚship!A:A,0)),
                                IFERROR(
                                    INDEX([1]ｾﾚﾓﾆｰ商品ship!B:B,MATCH(A674,[1]ｾﾚﾓﾆｰ商品ship!A:A,0)),
                                    INDEX([2]NV!D:D,MATCH(A674,[2]NV!C:C,0))
                                )
                            )
                        )
                    )
                )
            )
        )
    )
)</f>
        <v>てくてくザウルス (トリケラトプス)</v>
      </c>
      <c r="C674" s="4" t="s">
        <v>472</v>
      </c>
      <c r="D674" s="10" t="str">
        <f t="shared" si="30"/>
        <v>てくてくザウルス (トリケラトプス) ｜ 資材倉庫・ノベルティ【10】 ｜ A-1</v>
      </c>
      <c r="E674" s="11" t="str">
        <f t="shared" si="31"/>
        <v>資材倉庫・ノベルティ</v>
      </c>
      <c r="F674" s="12" t="s">
        <v>473</v>
      </c>
      <c r="G674" s="11" t="str">
        <f t="shared" si="32"/>
        <v>10・資材倉庫・ノベルティA-1</v>
      </c>
    </row>
    <row r="675" spans="1:7" ht="15" customHeight="1" x14ac:dyDescent="0.2">
      <c r="A675" s="10" t="s">
        <v>462</v>
      </c>
      <c r="B675" s="10" t="str">
        <f>IFERROR(
    INDEX([1]FSHIP!B:B,MATCH(A675,[1]FSHIP!A:A,0)),
    IFERROR(
        INDEX([1]釣具商品ship!B:B,MATCH(A675,[1]釣具商品ship!A:A,0)),
        IFERROR(
            INDEX([1]玩具商品ship!B:B,MATCH(A675,[1]玩具商品ship!A:A,0)),
            IFERROR(
                INDEX([1]OEMship!B:B,MATCH(A675,[1]OEMship!A:A,0)),
                IFERROR(
                    INDEX([1]NV6ship!B:B,MATCH(A675,[1]NV6ship!A:A,0)),
                    IFERROR(
                        INDEX([1]NVship!B:B,MATCH(A675,[1]NVship!A:A,0)),
                        IFERROR(
                            INDEX([1]海ship!B:B,MATCH(A675,[1]海ship!A:A,0)),
                            IFERROR(
                                INDEX([1]ｾﾚship!B:B,MATCH(A675,[1]ｾﾚship!A:A,0)),
                                IFERROR(
                                    INDEX([1]ｾﾚﾓﾆｰ商品ship!B:B,MATCH(A675,[1]ｾﾚﾓﾆｰ商品ship!A:A,0)),
                                    INDEX([2]NV!D:D,MATCH(A675,[2]NV!C:C,0))
                                )
                            )
                        )
                    )
                )
            )
        )
    )
)</f>
        <v>てくてくザウルス (ステゴサウルス)</v>
      </c>
      <c r="C675" s="4" t="s">
        <v>472</v>
      </c>
      <c r="D675" s="10" t="str">
        <f t="shared" si="30"/>
        <v>てくてくザウルス (ステゴサウルス) ｜ 資材倉庫・ノベルティ【10】 ｜ A-1</v>
      </c>
      <c r="E675" s="11" t="str">
        <f t="shared" si="31"/>
        <v>資材倉庫・ノベルティ</v>
      </c>
      <c r="F675" s="12" t="s">
        <v>473</v>
      </c>
      <c r="G675" s="11" t="str">
        <f t="shared" si="32"/>
        <v>10・資材倉庫・ノベルティA-1</v>
      </c>
    </row>
    <row r="676" spans="1:7" ht="15" customHeight="1" x14ac:dyDescent="0.2">
      <c r="A676" s="10" t="s">
        <v>500</v>
      </c>
      <c r="B676" s="10" t="str">
        <f>IFERROR(
    INDEX([1]FSHIP!B:B,MATCH(A676,[1]FSHIP!A:A,0)),
    IFERROR(
        INDEX([1]釣具商品ship!B:B,MATCH(A676,[1]釣具商品ship!A:A,0)),
        IFERROR(
            INDEX([1]玩具商品ship!B:B,MATCH(A676,[1]玩具商品ship!A:A,0)),
            IFERROR(
                INDEX([1]OEMship!B:B,MATCH(A676,[1]OEMship!A:A,0)),
                IFERROR(
                    INDEX([1]NV6ship!B:B,MATCH(A676,[1]NV6ship!A:A,0)),
                    IFERROR(
                        INDEX([1]NVship!B:B,MATCH(A676,[1]NVship!A:A,0)),
                        IFERROR(
                            INDEX([1]海ship!B:B,MATCH(A676,[1]海ship!A:A,0)),
                            IFERROR(
                                INDEX([1]ｾﾚship!B:B,MATCH(A676,[1]ｾﾚship!A:A,0)),
                                IFERROR(
                                    INDEX([1]ｾﾚﾓﾆｰ商品ship!B:B,MATCH(A676,[1]ｾﾚﾓﾆｰ商品ship!A:A,0)),
                                    INDEX([2]NV!D:D,MATCH(A676,[2]NV!C:C,0))
                                )
                            )
                        )
                    )
                )
            )
        )
    )
)</f>
        <v>ぼくたちエレメンツ2</v>
      </c>
      <c r="C676" s="4" t="s">
        <v>503</v>
      </c>
      <c r="D676" s="4" t="str">
        <f t="shared" si="30"/>
        <v>ぼくたちエレメンツ2 ｜ 資材倉庫・ノベルティ【10】 ｜ O-1</v>
      </c>
      <c r="E676" s="11" t="str">
        <f t="shared" si="31"/>
        <v>資材倉庫・ノベルティ</v>
      </c>
      <c r="F676" s="12" t="s">
        <v>477</v>
      </c>
      <c r="G676" s="11" t="str">
        <f t="shared" si="32"/>
        <v>10・資材倉庫・ノベルティO-1</v>
      </c>
    </row>
    <row r="677" spans="1:7" ht="15" customHeight="1" x14ac:dyDescent="0.2">
      <c r="A677" s="14" t="s">
        <v>717</v>
      </c>
      <c r="B677" s="10" t="str">
        <f>IFERROR(
    INDEX([1]FSHIP!B:B,MATCH(A677,[1]FSHIP!A:A,0)),
    IFERROR(
        INDEX([1]釣具商品ship!B:B,MATCH(A677,[1]釣具商品ship!A:A,0)),
        IFERROR(
            INDEX([1]玩具商品ship!B:B,MATCH(A677,[1]玩具商品ship!A:A,0)),
            IFERROR(
                INDEX([1]OEMship!B:B,MATCH(A677,[1]OEMship!A:A,0)),
                IFERROR(
                    INDEX([1]NV6ship!B:B,MATCH(A677,[1]NV6ship!A:A,0)),
                    IFERROR(
                        INDEX([1]NVship!B:B,MATCH(A677,[1]NVship!A:A,0)),
                        IFERROR(
                            INDEX([1]海ship!B:B,MATCH(A677,[1]海ship!A:A,0)),
                            IFERROR(
                                INDEX([1]ｾﾚship!B:B,MATCH(A677,[1]ｾﾚship!A:A,0)),
                                IFERROR(
                                    INDEX([1]ｾﾚﾓﾆｰ商品ship!B:B,MATCH(A677,[1]ｾﾚﾓﾆｰ商品ship!A:A,0)),
                                    INDEX([2]NV!D:D,MATCH(A677,[2]NV!C:C,0))
                                )
                            )
                        )
                    )
                )
            )
        )
    )
)</f>
        <v>Lumi-Airチューブ</v>
      </c>
      <c r="C677" s="16" t="s">
        <v>472</v>
      </c>
      <c r="D677" s="4" t="str">
        <f t="shared" si="30"/>
        <v>Lumi-Airチューブ ｜ テント倉庫【01】 ｜ A-1</v>
      </c>
      <c r="E677" s="11" t="str">
        <f t="shared" si="31"/>
        <v>テント倉庫</v>
      </c>
      <c r="F677" s="12" t="s">
        <v>721</v>
      </c>
      <c r="G677" s="11" t="str">
        <f t="shared" si="32"/>
        <v>01・テント倉庫A-1</v>
      </c>
    </row>
    <row r="678" spans="1:7" ht="15" customHeight="1" x14ac:dyDescent="0.2">
      <c r="A678" s="10" t="s">
        <v>540</v>
      </c>
      <c r="B678" s="10" t="str">
        <f>IFERROR(
    INDEX([1]FSHIP!B:B,MATCH(A678,[1]FSHIP!A:A,0)),
    IFERROR(
        INDEX([1]釣具商品ship!B:B,MATCH(A678,[1]釣具商品ship!A:A,0)),
        IFERROR(
            INDEX([1]玩具商品ship!B:B,MATCH(A678,[1]玩具商品ship!A:A,0)),
            IFERROR(
                INDEX([1]OEMship!B:B,MATCH(A678,[1]OEMship!A:A,0)),
                IFERROR(
                    INDEX([1]NV6ship!B:B,MATCH(A678,[1]NV6ship!A:A,0)),
                    IFERROR(
                        INDEX([1]NVship!B:B,MATCH(A678,[1]NVship!A:A,0)),
                        IFERROR(
                            INDEX([1]海ship!B:B,MATCH(A678,[1]海ship!A:A,0)),
                            IFERROR(
                                INDEX([1]ｾﾚship!B:B,MATCH(A678,[1]ｾﾚship!A:A,0)),
                                IFERROR(
                                    INDEX([1]ｾﾚﾓﾆｰ商品ship!B:B,MATCH(A678,[1]ｾﾚﾓﾆｰ商品ship!A:A,0)),
                                    INDEX([2]NV!D:D,MATCH(A678,[2]NV!C:C,0))
                                )
                            )
                        )
                    )
                )
            )
        )
    )
)</f>
        <v>LEDｱｸﾘﾙｽﾀﾝﾄﾞ用 台座(白)</v>
      </c>
      <c r="C678" s="4" t="s">
        <v>536</v>
      </c>
      <c r="D678" s="4" t="str">
        <f t="shared" si="30"/>
        <v>LEDｱｸﾘﾙｽﾀﾝﾄﾞ用 台座(白) ｜ 資材倉庫・ノベルティ【10】 ｜ R-1</v>
      </c>
      <c r="E678" s="11" t="str">
        <f t="shared" si="31"/>
        <v>資材倉庫・ノベルティ</v>
      </c>
      <c r="F678" s="12" t="s">
        <v>477</v>
      </c>
      <c r="G678" s="11" t="str">
        <f t="shared" si="32"/>
        <v>10・資材倉庫・ノベルティR-1</v>
      </c>
    </row>
    <row r="679" spans="1:7" ht="15" customHeight="1" x14ac:dyDescent="0.2">
      <c r="A679" s="10" t="s">
        <v>541</v>
      </c>
      <c r="B679" s="10" t="str">
        <f>IFERROR(
    INDEX([1]FSHIP!B:B,MATCH(A679,[1]FSHIP!A:A,0)),
    IFERROR(
        INDEX([1]釣具商品ship!B:B,MATCH(A679,[1]釣具商品ship!A:A,0)),
        IFERROR(
            INDEX([1]玩具商品ship!B:B,MATCH(A679,[1]玩具商品ship!A:A,0)),
            IFERROR(
                INDEX([1]OEMship!B:B,MATCH(A679,[1]OEMship!A:A,0)),
                IFERROR(
                    INDEX([1]NV6ship!B:B,MATCH(A679,[1]NV6ship!A:A,0)),
                    IFERROR(
                        INDEX([1]NVship!B:B,MATCH(A679,[1]NVship!A:A,0)),
                        IFERROR(
                            INDEX([1]海ship!B:B,MATCH(A679,[1]海ship!A:A,0)),
                            IFERROR(
                                INDEX([1]ｾﾚship!B:B,MATCH(A679,[1]ｾﾚship!A:A,0)),
                                IFERROR(
                                    INDEX([1]ｾﾚﾓﾆｰ商品ship!B:B,MATCH(A679,[1]ｾﾚﾓﾆｰ商品ship!A:A,0)),
                                    INDEX([2]NV!D:D,MATCH(A679,[2]NV!C:C,0))
                                )
                            )
                        )
                    )
                )
            )
        )
    )
)</f>
        <v>LEDｱｸﾘﾙｽﾀﾝﾄﾞ用 台座(黒)</v>
      </c>
      <c r="C679" s="4" t="s">
        <v>536</v>
      </c>
      <c r="D679" s="4" t="str">
        <f t="shared" si="30"/>
        <v>LEDｱｸﾘﾙｽﾀﾝﾄﾞ用 台座(黒) ｜ 資材倉庫・ノベルティ【10】 ｜ R-1</v>
      </c>
      <c r="E679" s="11" t="str">
        <f t="shared" si="31"/>
        <v>資材倉庫・ノベルティ</v>
      </c>
      <c r="F679" s="12" t="s">
        <v>477</v>
      </c>
      <c r="G679" s="11" t="str">
        <f t="shared" si="32"/>
        <v>10・資材倉庫・ノベルティR-1</v>
      </c>
    </row>
    <row r="680" spans="1:7" ht="15" customHeight="1" x14ac:dyDescent="0.2">
      <c r="A680" s="10" t="s">
        <v>542</v>
      </c>
      <c r="B680" s="10" t="str">
        <f>IFERROR(
    INDEX([1]FSHIP!B:B,MATCH(A680,[1]FSHIP!A:A,0)),
    IFERROR(
        INDEX([1]釣具商品ship!B:B,MATCH(A680,[1]釣具商品ship!A:A,0)),
        IFERROR(
            INDEX([1]玩具商品ship!B:B,MATCH(A680,[1]玩具商品ship!A:A,0)),
            IFERROR(
                INDEX([1]OEMship!B:B,MATCH(A680,[1]OEMship!A:A,0)),
                IFERROR(
                    INDEX([1]NV6ship!B:B,MATCH(A680,[1]NV6ship!A:A,0)),
                    IFERROR(
                        INDEX([1]NVship!B:B,MATCH(A680,[1]NVship!A:A,0)),
                        IFERROR(
                            INDEX([1]海ship!B:B,MATCH(A680,[1]海ship!A:A,0)),
                            IFERROR(
                                INDEX([1]ｾﾚship!B:B,MATCH(A680,[1]ｾﾚship!A:A,0)),
                                IFERROR(
                                    INDEX([1]ｾﾚﾓﾆｰ商品ship!B:B,MATCH(A680,[1]ｾﾚﾓﾆｰ商品ship!A:A,0)),
                                    INDEX([2]NV!D:D,MATCH(A680,[2]NV!C:C,0))
                                )
                            )
                        )
                    )
                )
            )
        )
    )
)</f>
        <v>LEDｱｸﾘﾙｽﾀﾝﾄﾞ用 ｱｸﾘﾙ</v>
      </c>
      <c r="C680" s="4" t="s">
        <v>536</v>
      </c>
      <c r="D680" s="4" t="str">
        <f t="shared" si="30"/>
        <v>LEDｱｸﾘﾙｽﾀﾝﾄﾞ用 ｱｸﾘﾙ ｜ 資材倉庫・ノベルティ【10】 ｜ R-1</v>
      </c>
      <c r="E680" s="11" t="str">
        <f t="shared" si="31"/>
        <v>資材倉庫・ノベルティ</v>
      </c>
      <c r="F680" s="12" t="s">
        <v>477</v>
      </c>
      <c r="G680" s="11" t="str">
        <f t="shared" si="32"/>
        <v>10・資材倉庫・ノベルティR-1</v>
      </c>
    </row>
    <row r="681" spans="1:7" ht="15" customHeight="1" x14ac:dyDescent="0.2">
      <c r="A681" s="10" t="s">
        <v>543</v>
      </c>
      <c r="B681" s="10" t="str">
        <f>IFERROR(
    INDEX([1]FSHIP!B:B,MATCH(A681,[1]FSHIP!A:A,0)),
    IFERROR(
        INDEX([1]釣具商品ship!B:B,MATCH(A681,[1]釣具商品ship!A:A,0)),
        IFERROR(
            INDEX([1]玩具商品ship!B:B,MATCH(A681,[1]玩具商品ship!A:A,0)),
            IFERROR(
                INDEX([1]OEMship!B:B,MATCH(A681,[1]OEMship!A:A,0)),
                IFERROR(
                    INDEX([1]NV6ship!B:B,MATCH(A681,[1]NV6ship!A:A,0)),
                    IFERROR(
                        INDEX([1]NVship!B:B,MATCH(A681,[1]NVship!A:A,0)),
                        IFERROR(
                            INDEX([1]海ship!B:B,MATCH(A681,[1]海ship!A:A,0)),
                            IFERROR(
                                INDEX([1]ｾﾚship!B:B,MATCH(A681,[1]ｾﾚship!A:A,0)),
                                IFERROR(
                                    INDEX([1]ｾﾚﾓﾆｰ商品ship!B:B,MATCH(A681,[1]ｾﾚﾓﾆｰ商品ship!A:A,0)),
                                    INDEX([2]NV!D:D,MATCH(A681,[2]NV!C:C,0))
                                )
                            )
                        )
                    )
                )
            )
        )
    )
)</f>
        <v>LEDｱｸﾘﾙｽﾀﾝﾄﾞ用 販売箱</v>
      </c>
      <c r="C681" s="4" t="s">
        <v>536</v>
      </c>
      <c r="D681" s="4" t="str">
        <f t="shared" si="30"/>
        <v>LEDｱｸﾘﾙｽﾀﾝﾄﾞ用 販売箱 ｜ 資材倉庫・ノベルティ【10】 ｜ R-1</v>
      </c>
      <c r="E681" s="11" t="str">
        <f t="shared" si="31"/>
        <v>資材倉庫・ノベルティ</v>
      </c>
      <c r="F681" s="12" t="s">
        <v>477</v>
      </c>
      <c r="G681" s="11" t="str">
        <f t="shared" si="32"/>
        <v>10・資材倉庫・ノベルティR-1</v>
      </c>
    </row>
    <row r="682" spans="1:7" ht="15" customHeight="1" x14ac:dyDescent="0.2">
      <c r="A682" s="10" t="s">
        <v>464</v>
      </c>
      <c r="B682" s="10" t="str">
        <f>IFERROR(
    INDEX([1]FSHIP!B:B,MATCH(A682,[1]FSHIP!A:A,0)),
    IFERROR(
        INDEX([1]釣具商品ship!B:B,MATCH(A682,[1]釣具商品ship!A:A,0)),
        IFERROR(
            INDEX([1]玩具商品ship!B:B,MATCH(A682,[1]玩具商品ship!A:A,0)),
            IFERROR(
                INDEX([1]OEMship!B:B,MATCH(A682,[1]OEMship!A:A,0)),
                IFERROR(
                    INDEX([1]NV6ship!B:B,MATCH(A682,[1]NV6ship!A:A,0)),
                    IFERROR(
                        INDEX([1]NVship!B:B,MATCH(A682,[1]NVship!A:A,0)),
                        IFERROR(
                            INDEX([1]海ship!B:B,MATCH(A682,[1]海ship!A:A,0)),
                            IFERROR(
                                INDEX([1]ｾﾚship!B:B,MATCH(A682,[1]ｾﾚship!A:A,0)),
                                IFERROR(
                                    INDEX([1]ｾﾚﾓﾆｰ商品ship!B:B,MATCH(A682,[1]ｾﾚﾓﾆｰ商品ship!A:A,0)),
                                    INDEX([2]NV!D:D,MATCH(A682,[2]NV!C:C,0))
                                )
                            )
                        )
                    )
                )
            )
        )
    )
)</f>
        <v>大閃光ブレードCharge</v>
      </c>
      <c r="C682" s="4" t="s">
        <v>457</v>
      </c>
      <c r="D682" s="10" t="str">
        <f t="shared" si="30"/>
        <v>大閃光ブレードCharge ｜ 1Fノベルティ【03】 ｜ D-1</v>
      </c>
      <c r="E682" s="11" t="str">
        <f t="shared" si="31"/>
        <v>1Fノベルティ</v>
      </c>
      <c r="F682" s="12" t="s">
        <v>367</v>
      </c>
      <c r="G682" s="11" t="str">
        <f t="shared" si="32"/>
        <v>03・1FノベルティD-1</v>
      </c>
    </row>
    <row r="683" spans="1:7" ht="15" customHeight="1" x14ac:dyDescent="0.2">
      <c r="A683" s="10" t="s">
        <v>465</v>
      </c>
      <c r="B683" s="10" t="str">
        <f>IFERROR(
    INDEX([1]FSHIP!B:B,MATCH(A683,[1]FSHIP!A:A,0)),
    IFERROR(
        INDEX([1]釣具商品ship!B:B,MATCH(A683,[1]釣具商品ship!A:A,0)),
        IFERROR(
            INDEX([1]玩具商品ship!B:B,MATCH(A683,[1]玩具商品ship!A:A,0)),
            IFERROR(
                INDEX([1]OEMship!B:B,MATCH(A683,[1]OEMship!A:A,0)),
                IFERROR(
                    INDEX([1]NV6ship!B:B,MATCH(A683,[1]NV6ship!A:A,0)),
                    IFERROR(
                        INDEX([1]NVship!B:B,MATCH(A683,[1]NVship!A:A,0)),
                        IFERROR(
                            INDEX([1]海ship!B:B,MATCH(A683,[1]海ship!A:A,0)),
                            IFERROR(
                                INDEX([1]ｾﾚship!B:B,MATCH(A683,[1]ｾﾚship!A:A,0)),
                                IFERROR(
                                    INDEX([1]ｾﾚﾓﾆｰ商品ship!B:B,MATCH(A683,[1]ｾﾚﾓﾆｰ商品ship!A:A,0)),
                                    INDEX([2]NV!D:D,MATCH(A683,[2]NV!C:C,0))
                                )
                            )
                        )
                    )
                )
            )
        )
    )
)</f>
        <v>大閃光ブレードEasy</v>
      </c>
      <c r="C683" s="4" t="s">
        <v>457</v>
      </c>
      <c r="D683" s="10" t="str">
        <f t="shared" si="30"/>
        <v>大閃光ブレードEasy ｜ 1Fノベルティ【03】 ｜ D-1</v>
      </c>
      <c r="E683" s="11" t="str">
        <f t="shared" si="31"/>
        <v>1Fノベルティ</v>
      </c>
      <c r="F683" s="12" t="s">
        <v>367</v>
      </c>
      <c r="G683" s="11" t="str">
        <f t="shared" si="32"/>
        <v>03・1FノベルティD-1</v>
      </c>
    </row>
    <row r="684" spans="1:7" ht="15" customHeight="1" x14ac:dyDescent="0.2">
      <c r="A684" s="10" t="s">
        <v>689</v>
      </c>
      <c r="B684" s="10" t="str">
        <f>IFERROR(
    INDEX([1]FSHIP!B:B,MATCH(A684,[1]FSHIP!A:A,0)),
    IFERROR(
        INDEX([1]釣具商品ship!B:B,MATCH(A684,[1]釣具商品ship!A:A,0)),
        IFERROR(
            INDEX([1]玩具商品ship!B:B,MATCH(A684,[1]玩具商品ship!A:A,0)),
            IFERROR(
                INDEX([1]OEMship!B:B,MATCH(A684,[1]OEMship!A:A,0)),
                IFERROR(
                    INDEX([1]NV6ship!B:B,MATCH(A684,[1]NV6ship!A:A,0)),
                    IFERROR(
                        INDEX([1]NVship!B:B,MATCH(A684,[1]NVship!A:A,0)),
                        IFERROR(
                            INDEX([1]海ship!B:B,MATCH(A684,[1]海ship!A:A,0)),
                            IFERROR(
                                INDEX([1]ｾﾚship!B:B,MATCH(A684,[1]ｾﾚship!A:A,0)),
                                IFERROR(
                                    INDEX([1]ｾﾚﾓﾆｰ商品ship!B:B,MATCH(A684,[1]ｾﾚﾓﾆｰ商品ship!A:A,0)),
                                    INDEX([2]NV!D:D,MATCH(A684,[2]NV!C:C,0))
                                )
                            )
                        )
                    )
                )
            )
        )
    )
)</f>
        <v>ｱｸﾘﾙｽﾀﾝﾄﾞ用ﾗｲﾄｱｯﾌﾟｽﾃｰｼﾞ</v>
      </c>
      <c r="C684" s="4" t="s">
        <v>368</v>
      </c>
      <c r="D684" s="4" t="str">
        <f t="shared" si="30"/>
        <v>ｱｸﾘﾙｽﾀﾝﾄﾞ用ﾗｲﾄｱｯﾌﾟｽﾃｰｼﾞ ｜ 資材倉庫・ノベルティ【10】 ｜ P-1</v>
      </c>
      <c r="E684" s="11" t="str">
        <f t="shared" si="31"/>
        <v>資材倉庫・ノベルティ</v>
      </c>
      <c r="F684" s="12" t="s">
        <v>688</v>
      </c>
      <c r="G684" s="11" t="str">
        <f t="shared" si="32"/>
        <v>10・資材倉庫・ノベルティP-1</v>
      </c>
    </row>
    <row r="685" spans="1:7" ht="15" customHeight="1" x14ac:dyDescent="0.2">
      <c r="A685" s="10" t="s">
        <v>501</v>
      </c>
      <c r="B685" s="10" t="str">
        <f>IFERROR(
    INDEX([1]FSHIP!B:B,MATCH(A685,[1]FSHIP!A:A,0)),
    IFERROR(
        INDEX([1]釣具商品ship!B:B,MATCH(A685,[1]釣具商品ship!A:A,0)),
        IFERROR(
            INDEX([1]玩具商品ship!B:B,MATCH(A685,[1]玩具商品ship!A:A,0)),
            IFERROR(
                INDEX([1]OEMship!B:B,MATCH(A685,[1]OEMship!A:A,0)),
                IFERROR(
                    INDEX([1]NV6ship!B:B,MATCH(A685,[1]NV6ship!A:A,0)),
                    IFERROR(
                        INDEX([1]NVship!B:B,MATCH(A685,[1]NVship!A:A,0)),
                        IFERROR(
                            INDEX([1]海ship!B:B,MATCH(A685,[1]海ship!A:A,0)),
                            IFERROR(
                                INDEX([1]ｾﾚship!B:B,MATCH(A685,[1]ｾﾚship!A:A,0)),
                                IFERROR(
                                    INDEX([1]ｾﾚﾓﾆｰ商品ship!B:B,MATCH(A685,[1]ｾﾚﾓﾆｰ商品ship!A:A,0)),
                                    INDEX([2]NV!D:D,MATCH(A685,[2]NV!C:C,0))
                                )
                            )
                        )
                    )
                )
            )
        )
    )
)</f>
        <v>LUMI CUTE (ルミキュート)</v>
      </c>
      <c r="C685" s="4" t="s">
        <v>503</v>
      </c>
      <c r="D685" s="4" t="str">
        <f t="shared" si="30"/>
        <v>LUMI CUTE (ルミキュート) ｜ 資材倉庫・ノベルティ【10】 ｜ O-1</v>
      </c>
      <c r="E685" s="11" t="str">
        <f t="shared" si="31"/>
        <v>資材倉庫・ノベルティ</v>
      </c>
      <c r="F685" s="12" t="s">
        <v>477</v>
      </c>
      <c r="G685" s="11" t="str">
        <f t="shared" si="32"/>
        <v>10・資材倉庫・ノベルティO-1</v>
      </c>
    </row>
    <row r="686" spans="1:7" ht="15" customHeight="1" x14ac:dyDescent="0.2">
      <c r="A686" s="10" t="s">
        <v>682</v>
      </c>
      <c r="B686" s="10" t="str">
        <f>IFERROR(
    INDEX([1]FSHIP!B:B,MATCH(A686,[1]FSHIP!A:A,0)),
    IFERROR(
        INDEX([1]釣具商品ship!B:B,MATCH(A686,[1]釣具商品ship!A:A,0)),
        IFERROR(
            INDEX([1]玩具商品ship!B:B,MATCH(A686,[1]玩具商品ship!A:A,0)),
            IFERROR(
                INDEX([1]OEMship!B:B,MATCH(A686,[1]OEMship!A:A,0)),
                IFERROR(
                    INDEX([1]NV6ship!B:B,MATCH(A686,[1]NV6ship!A:A,0)),
                    IFERROR(
                        INDEX([1]NVship!B:B,MATCH(A686,[1]NVship!A:A,0)),
                        IFERROR(
                            INDEX([1]海ship!B:B,MATCH(A686,[1]海ship!A:A,0)),
                            IFERROR(
                                INDEX([1]ｾﾚship!B:B,MATCH(A686,[1]ｾﾚship!A:A,0)),
                                IFERROR(
                                    INDEX([1]ｾﾚﾓﾆｰ商品ship!B:B,MATCH(A686,[1]ｾﾚﾓﾆｰ商品ship!A:A,0)),
                                    INDEX([2]NV!D:D,MATCH(A686,[2]NV!C:C,0))
                                )
                            )
                        )
                    )
                )
            )
        )
    )
)</f>
        <v>ﾌｧﾝｻﾍﾟﾝﾗｲﾄ 指さして</v>
      </c>
      <c r="C686" s="4" t="s">
        <v>687</v>
      </c>
      <c r="D686" s="4" t="str">
        <f t="shared" si="30"/>
        <v>ﾌｧﾝｻﾍﾟﾝﾗｲﾄ 指さして ｜ 資材倉庫・ノベルティ【10】 ｜ P-1</v>
      </c>
      <c r="E686" s="11" t="str">
        <f t="shared" si="31"/>
        <v>資材倉庫・ノベルティ</v>
      </c>
      <c r="F686" s="12" t="s">
        <v>688</v>
      </c>
      <c r="G686" s="11" t="str">
        <f t="shared" si="32"/>
        <v>10・資材倉庫・ノベルティP-1</v>
      </c>
    </row>
    <row r="687" spans="1:7" ht="15" customHeight="1" x14ac:dyDescent="0.2">
      <c r="A687" s="10" t="s">
        <v>683</v>
      </c>
      <c r="B687" s="10" t="str">
        <f>IFERROR(
    INDEX([1]FSHIP!B:B,MATCH(A687,[1]FSHIP!A:A,0)),
    IFERROR(
        INDEX([1]釣具商品ship!B:B,MATCH(A687,[1]釣具商品ship!A:A,0)),
        IFERROR(
            INDEX([1]玩具商品ship!B:B,MATCH(A687,[1]玩具商品ship!A:A,0)),
            IFERROR(
                INDEX([1]OEMship!B:B,MATCH(A687,[1]OEMship!A:A,0)),
                IFERROR(
                    INDEX([1]NV6ship!B:B,MATCH(A687,[1]NV6ship!A:A,0)),
                    IFERROR(
                        INDEX([1]NVship!B:B,MATCH(A687,[1]NVship!A:A,0)),
                        IFERROR(
                            INDEX([1]海ship!B:B,MATCH(A687,[1]海ship!A:A,0)),
                            IFERROR(
                                INDEX([1]ｾﾚship!B:B,MATCH(A687,[1]ｾﾚship!A:A,0)),
                                IFERROR(
                                    INDEX([1]ｾﾚﾓﾆｰ商品ship!B:B,MATCH(A687,[1]ｾﾚﾓﾆｰ商品ship!A:A,0)),
                                    INDEX([2]NV!D:D,MATCH(A687,[2]NV!C:C,0))
                                )
                            )
                        )
                    )
                )
            )
        )
    )
)</f>
        <v>ﾌｧﾝｻﾍﾟﾝﾗｲﾄ 3秒見つめて</v>
      </c>
      <c r="C687" s="4" t="s">
        <v>687</v>
      </c>
      <c r="D687" s="4" t="str">
        <f t="shared" si="30"/>
        <v>ﾌｧﾝｻﾍﾟﾝﾗｲﾄ 3秒見つめて ｜ 資材倉庫・ノベルティ【10】 ｜ P-1</v>
      </c>
      <c r="E687" s="11" t="str">
        <f t="shared" si="31"/>
        <v>資材倉庫・ノベルティ</v>
      </c>
      <c r="F687" s="12" t="s">
        <v>688</v>
      </c>
      <c r="G687" s="11" t="str">
        <f t="shared" si="32"/>
        <v>10・資材倉庫・ノベルティP-1</v>
      </c>
    </row>
    <row r="688" spans="1:7" ht="15" customHeight="1" x14ac:dyDescent="0.2">
      <c r="A688" s="10" t="s">
        <v>684</v>
      </c>
      <c r="B688" s="10" t="str">
        <f>IFERROR(
    INDEX([1]FSHIP!B:B,MATCH(A688,[1]FSHIP!A:A,0)),
    IFERROR(
        INDEX([1]釣具商品ship!B:B,MATCH(A688,[1]釣具商品ship!A:A,0)),
        IFERROR(
            INDEX([1]玩具商品ship!B:B,MATCH(A688,[1]玩具商品ship!A:A,0)),
            IFERROR(
                INDEX([1]OEMship!B:B,MATCH(A688,[1]OEMship!A:A,0)),
                IFERROR(
                    INDEX([1]NV6ship!B:B,MATCH(A688,[1]NV6ship!A:A,0)),
                    IFERROR(
                        INDEX([1]NVship!B:B,MATCH(A688,[1]NVship!A:A,0)),
                        IFERROR(
                            INDEX([1]海ship!B:B,MATCH(A688,[1]海ship!A:A,0)),
                            IFERROR(
                                INDEX([1]ｾﾚship!B:B,MATCH(A688,[1]ｾﾚship!A:A,0)),
                                IFERROR(
                                    INDEX([1]ｾﾚﾓﾆｰ商品ship!B:B,MATCH(A688,[1]ｾﾚﾓﾆｰ商品ship!A:A,0)),
                                    INDEX([2]NV!D:D,MATCH(A688,[2]NV!C:C,0))
                                )
                            )
                        )
                    )
                )
            )
        )
    )
)</f>
        <v>ﾌｧﾝｻﾍﾟﾝﾗｲﾄ 撃って</v>
      </c>
      <c r="C688" s="4" t="s">
        <v>687</v>
      </c>
      <c r="D688" s="4" t="str">
        <f t="shared" si="30"/>
        <v>ﾌｧﾝｻﾍﾟﾝﾗｲﾄ 撃って ｜ 資材倉庫・ノベルティ【10】 ｜ P-1</v>
      </c>
      <c r="E688" s="11" t="str">
        <f t="shared" si="31"/>
        <v>資材倉庫・ノベルティ</v>
      </c>
      <c r="F688" s="12" t="s">
        <v>688</v>
      </c>
      <c r="G688" s="11" t="str">
        <f t="shared" si="32"/>
        <v>10・資材倉庫・ノベルティP-1</v>
      </c>
    </row>
    <row r="689" spans="1:7" ht="15" customHeight="1" x14ac:dyDescent="0.2">
      <c r="A689" s="10" t="s">
        <v>685</v>
      </c>
      <c r="B689" s="10" t="str">
        <f>IFERROR(
    INDEX([1]FSHIP!B:B,MATCH(A689,[1]FSHIP!A:A,0)),
    IFERROR(
        INDEX([1]釣具商品ship!B:B,MATCH(A689,[1]釣具商品ship!A:A,0)),
        IFERROR(
            INDEX([1]玩具商品ship!B:B,MATCH(A689,[1]玩具商品ship!A:A,0)),
            IFERROR(
                INDEX([1]OEMship!B:B,MATCH(A689,[1]OEMship!A:A,0)),
                IFERROR(
                    INDEX([1]NV6ship!B:B,MATCH(A689,[1]NV6ship!A:A,0)),
                    IFERROR(
                        INDEX([1]NVship!B:B,MATCH(A689,[1]NVship!A:A,0)),
                        IFERROR(
                            INDEX([1]海ship!B:B,MATCH(A689,[1]海ship!A:A,0)),
                            IFERROR(
                                INDEX([1]ｾﾚship!B:B,MATCH(A689,[1]ｾﾚship!A:A,0)),
                                IFERROR(
                                    INDEX([1]ｾﾚﾓﾆｰ商品ship!B:B,MATCH(A689,[1]ｾﾚﾓﾆｰ商品ship!A:A,0)),
                                    INDEX([2]NV!D:D,MATCH(A689,[2]NV!C:C,0))
                                )
                            )
                        )
                    )
                )
            )
        )
    )
)</f>
        <v>ﾌｧﾝｻﾍﾟﾝﾗｲﾄ ハート作って</v>
      </c>
      <c r="C689" s="4" t="s">
        <v>687</v>
      </c>
      <c r="D689" s="4" t="str">
        <f t="shared" si="30"/>
        <v>ﾌｧﾝｻﾍﾟﾝﾗｲﾄ ハート作って ｜ 資材倉庫・ノベルティ【10】 ｜ P-1</v>
      </c>
      <c r="E689" s="11" t="str">
        <f t="shared" si="31"/>
        <v>資材倉庫・ノベルティ</v>
      </c>
      <c r="F689" s="12" t="s">
        <v>688</v>
      </c>
      <c r="G689" s="11" t="str">
        <f t="shared" si="32"/>
        <v>10・資材倉庫・ノベルティP-1</v>
      </c>
    </row>
    <row r="690" spans="1:7" ht="15" customHeight="1" x14ac:dyDescent="0.2">
      <c r="A690" s="10" t="s">
        <v>686</v>
      </c>
      <c r="B690" s="10" t="str">
        <f>IFERROR(
    INDEX([1]FSHIP!B:B,MATCH(A690,[1]FSHIP!A:A,0)),
    IFERROR(
        INDEX([1]釣具商品ship!B:B,MATCH(A690,[1]釣具商品ship!A:A,0)),
        IFERROR(
            INDEX([1]玩具商品ship!B:B,MATCH(A690,[1]玩具商品ship!A:A,0)),
            IFERROR(
                INDEX([1]OEMship!B:B,MATCH(A690,[1]OEMship!A:A,0)),
                IFERROR(
                    INDEX([1]NV6ship!B:B,MATCH(A690,[1]NV6ship!A:A,0)),
                    IFERROR(
                        INDEX([1]NVship!B:B,MATCH(A690,[1]NVship!A:A,0)),
                        IFERROR(
                            INDEX([1]海ship!B:B,MATCH(A690,[1]海ship!A:A,0)),
                            IFERROR(
                                INDEX([1]ｾﾚship!B:B,MATCH(A690,[1]ｾﾚship!A:A,0)),
                                IFERROR(
                                    INDEX([1]ｾﾚﾓﾆｰ商品ship!B:B,MATCH(A690,[1]ｾﾚﾓﾆｰ商品ship!A:A,0)),
                                    INDEX([2]NV!D:D,MATCH(A690,[2]NV!C:C,0))
                                )
                            )
                        )
                    )
                )
            )
        )
    )
)</f>
        <v>ﾌｧﾝｻﾍﾟﾝﾗｲﾄ 投げchuして</v>
      </c>
      <c r="C690" s="4" t="s">
        <v>687</v>
      </c>
      <c r="D690" s="4" t="str">
        <f t="shared" si="30"/>
        <v>ﾌｧﾝｻﾍﾟﾝﾗｲﾄ 投げchuして ｜ 資材倉庫・ノベルティ【10】 ｜ P-1</v>
      </c>
      <c r="E690" s="11" t="str">
        <f t="shared" si="31"/>
        <v>資材倉庫・ノベルティ</v>
      </c>
      <c r="F690" s="12" t="s">
        <v>688</v>
      </c>
      <c r="G690" s="11" t="str">
        <f t="shared" si="32"/>
        <v>10・資材倉庫・ノベルティP-1</v>
      </c>
    </row>
    <row r="691" spans="1:7" ht="15" customHeight="1" x14ac:dyDescent="0.2">
      <c r="A691" s="14" t="s">
        <v>730</v>
      </c>
      <c r="B691" s="10" t="str">
        <f>IFERROR(
    INDEX([1]FSHIP!B:B,MATCH(A691,[1]FSHIP!A:A,0)),
    IFERROR(
        INDEX([1]釣具商品ship!B:B,MATCH(A691,[1]釣具商品ship!A:A,0)),
        IFERROR(
            INDEX([1]玩具商品ship!B:B,MATCH(A691,[1]玩具商品ship!A:A,0)),
            IFERROR(
                INDEX([1]OEMship!B:B,MATCH(A691,[1]OEMship!A:A,0)),
                IFERROR(
                    INDEX([1]NV6ship!B:B,MATCH(A691,[1]NV6ship!A:A,0)),
                    IFERROR(
                        INDEX([1]NVship!B:B,MATCH(A691,[1]NVship!A:A,0)),
                        IFERROR(
                            INDEX([1]海ship!B:B,MATCH(A691,[1]海ship!A:A,0)),
                            IFERROR(
                                INDEX([1]ｾﾚship!B:B,MATCH(A691,[1]ｾﾚship!A:A,0)),
                                IFERROR(
                                    INDEX([1]ｾﾚﾓﾆｰ商品ship!B:B,MATCH(A691,[1]ｾﾚﾓﾆｰ商品ship!A:A,0)),
                                    INDEX([2]NV!D:D,MATCH(A691,[2]NV!C:C,0))
                                )
                            )
                        )
                    )
                )
            )
        )
    )
)</f>
        <v>大閃光ﾌﾞﾚｰﾄﾞ300 ｸﾞﾘｰﾝｸﾞﾘｯﾌﾟ</v>
      </c>
      <c r="C691" s="16" t="s">
        <v>729</v>
      </c>
      <c r="D691" s="4" t="str">
        <f t="shared" si="30"/>
        <v>大閃光ﾌﾞﾚｰﾄﾞ300 ｸﾞﾘｰﾝｸﾞﾘｯﾌﾟ ｜ 1Fノベルティ【03】 ｜ C-1</v>
      </c>
      <c r="E691" s="11" t="str">
        <f t="shared" si="31"/>
        <v>1Fノベルティ</v>
      </c>
      <c r="F691" s="12" t="s">
        <v>744</v>
      </c>
      <c r="G691" s="11" t="str">
        <f t="shared" si="32"/>
        <v>03・1FノベルティC-1</v>
      </c>
    </row>
    <row r="692" spans="1:7" ht="15" customHeight="1" x14ac:dyDescent="0.2">
      <c r="A692" s="14" t="s">
        <v>732</v>
      </c>
      <c r="B692" s="10" t="str">
        <f>IFERROR(
    INDEX([1]FSHIP!B:B,MATCH(A692,[1]FSHIP!A:A,0)),
    IFERROR(
        INDEX([1]釣具商品ship!B:B,MATCH(A692,[1]釣具商品ship!A:A,0)),
        IFERROR(
            INDEX([1]玩具商品ship!B:B,MATCH(A692,[1]玩具商品ship!A:A,0)),
            IFERROR(
                INDEX([1]OEMship!B:B,MATCH(A692,[1]OEMship!A:A,0)),
                IFERROR(
                    INDEX([1]NV6ship!B:B,MATCH(A692,[1]NV6ship!A:A,0)),
                    IFERROR(
                        INDEX([1]NVship!B:B,MATCH(A692,[1]NVship!A:A,0)),
                        IFERROR(
                            INDEX([1]海ship!B:B,MATCH(A692,[1]海ship!A:A,0)),
                            IFERROR(
                                INDEX([1]ｾﾚship!B:B,MATCH(A692,[1]ｾﾚship!A:A,0)),
                                IFERROR(
                                    INDEX([1]ｾﾚﾓﾆｰ商品ship!B:B,MATCH(A692,[1]ｾﾚﾓﾆｰ商品ship!A:A,0)),
                                    INDEX([2]NV!D:D,MATCH(A692,[2]NV!C:C,0))
                                )
                            )
                        )
                    )
                )
            )
        )
    )
)</f>
        <v>大閃光ﾌﾞﾚｰﾄﾞ300 ﾌﾞﾙｰｸﾞﾘｯﾌﾟ</v>
      </c>
      <c r="C692" s="16" t="s">
        <v>729</v>
      </c>
      <c r="D692" s="4" t="str">
        <f t="shared" si="30"/>
        <v>大閃光ﾌﾞﾚｰﾄﾞ300 ﾌﾞﾙｰｸﾞﾘｯﾌﾟ ｜ 1Fノベルティ【03】 ｜ C-1</v>
      </c>
      <c r="E692" s="11" t="str">
        <f t="shared" si="31"/>
        <v>1Fノベルティ</v>
      </c>
      <c r="F692" s="12" t="s">
        <v>744</v>
      </c>
      <c r="G692" s="11" t="str">
        <f t="shared" si="32"/>
        <v>03・1FノベルティC-1</v>
      </c>
    </row>
    <row r="693" spans="1:7" ht="15" customHeight="1" x14ac:dyDescent="0.2">
      <c r="A693" s="14" t="s">
        <v>731</v>
      </c>
      <c r="B693" s="10" t="str">
        <f>IFERROR(
    INDEX([1]FSHIP!B:B,MATCH(A693,[1]FSHIP!A:A,0)),
    IFERROR(
        INDEX([1]釣具商品ship!B:B,MATCH(A693,[1]釣具商品ship!A:A,0)),
        IFERROR(
            INDEX([1]玩具商品ship!B:B,MATCH(A693,[1]玩具商品ship!A:A,0)),
            IFERROR(
                INDEX([1]OEMship!B:B,MATCH(A693,[1]OEMship!A:A,0)),
                IFERROR(
                    INDEX([1]NV6ship!B:B,MATCH(A693,[1]NV6ship!A:A,0)),
                    IFERROR(
                        INDEX([1]NVship!B:B,MATCH(A693,[1]NVship!A:A,0)),
                        IFERROR(
                            INDEX([1]海ship!B:B,MATCH(A693,[1]海ship!A:A,0)),
                            IFERROR(
                                INDEX([1]ｾﾚship!B:B,MATCH(A693,[1]ｾﾚship!A:A,0)),
                                IFERROR(
                                    INDEX([1]ｾﾚﾓﾆｰ商品ship!B:B,MATCH(A693,[1]ｾﾚﾓﾆｰ商品ship!A:A,0)),
                                    INDEX([2]NV!D:D,MATCH(A693,[2]NV!C:C,0))
                                )
                            )
                        )
                    )
                )
            )
        )
    )
)</f>
        <v>大閃光ﾌﾞﾚｰﾄﾞ300 ﾋﾟﾝｸｸﾞﾘｯﾌﾟ</v>
      </c>
      <c r="C693" s="16" t="s">
        <v>729</v>
      </c>
      <c r="D693" s="4" t="str">
        <f t="shared" si="30"/>
        <v>大閃光ﾌﾞﾚｰﾄﾞ300 ﾋﾟﾝｸｸﾞﾘｯﾌﾟ ｜ 1Fノベルティ【03】 ｜ C-1</v>
      </c>
      <c r="E693" s="11" t="str">
        <f t="shared" si="31"/>
        <v>1Fノベルティ</v>
      </c>
      <c r="F693" s="12" t="s">
        <v>744</v>
      </c>
      <c r="G693" s="11" t="str">
        <f t="shared" si="32"/>
        <v>03・1FノベルティC-1</v>
      </c>
    </row>
    <row r="694" spans="1:7" ht="15" customHeight="1" x14ac:dyDescent="0.2">
      <c r="A694" s="14" t="s">
        <v>734</v>
      </c>
      <c r="B694" s="10" t="str">
        <f>IFERROR(
    INDEX([1]FSHIP!B:B,MATCH(A694,[1]FSHIP!A:A,0)),
    IFERROR(
        INDEX([1]釣具商品ship!B:B,MATCH(A694,[1]釣具商品ship!A:A,0)),
        IFERROR(
            INDEX([1]玩具商品ship!B:B,MATCH(A694,[1]玩具商品ship!A:A,0)),
            IFERROR(
                INDEX([1]OEMship!B:B,MATCH(A694,[1]OEMship!A:A,0)),
                IFERROR(
                    INDEX([1]NV6ship!B:B,MATCH(A694,[1]NV6ship!A:A,0)),
                    IFERROR(
                        INDEX([1]NVship!B:B,MATCH(A694,[1]NVship!A:A,0)),
                        IFERROR(
                            INDEX([1]海ship!B:B,MATCH(A694,[1]海ship!A:A,0)),
                            IFERROR(
                                INDEX([1]ｾﾚship!B:B,MATCH(A694,[1]ｾﾚship!A:A,0)),
                                IFERROR(
                                    INDEX([1]ｾﾚﾓﾆｰ商品ship!B:B,MATCH(A694,[1]ｾﾚﾓﾆｰ商品ship!A:A,0)),
                                    INDEX([2]NV!D:D,MATCH(A694,[2]NV!C:C,0))
                                )
                            )
                        )
                    )
                )
            )
        )
    )
)</f>
        <v>大閃光ﾌﾞﾚｰﾄﾞ300 ｴﾒﾗﾙﾄﾞｸﾞﾘｰﾝｸﾞﾘｯﾌﾟ</v>
      </c>
      <c r="C694" s="16" t="s">
        <v>729</v>
      </c>
      <c r="D694" s="4" t="str">
        <f t="shared" si="30"/>
        <v>大閃光ﾌﾞﾚｰﾄﾞ300 ｴﾒﾗﾙﾄﾞｸﾞﾘｰﾝｸﾞﾘｯﾌﾟ ｜ 1Fノベルティ【03】 ｜ C-1</v>
      </c>
      <c r="E694" s="11" t="str">
        <f t="shared" si="31"/>
        <v>1Fノベルティ</v>
      </c>
      <c r="F694" s="12" t="s">
        <v>744</v>
      </c>
      <c r="G694" s="11" t="str">
        <f t="shared" si="32"/>
        <v>03・1FノベルティC-1</v>
      </c>
    </row>
    <row r="695" spans="1:7" ht="15" customHeight="1" x14ac:dyDescent="0.2">
      <c r="A695" s="14" t="s">
        <v>733</v>
      </c>
      <c r="B695" s="10" t="str">
        <f>IFERROR(
    INDEX([1]FSHIP!B:B,MATCH(A695,[1]FSHIP!A:A,0)),
    IFERROR(
        INDEX([1]釣具商品ship!B:B,MATCH(A695,[1]釣具商品ship!A:A,0)),
        IFERROR(
            INDEX([1]玩具商品ship!B:B,MATCH(A695,[1]玩具商品ship!A:A,0)),
            IFERROR(
                INDEX([1]OEMship!B:B,MATCH(A695,[1]OEMship!A:A,0)),
                IFERROR(
                    INDEX([1]NV6ship!B:B,MATCH(A695,[1]NV6ship!A:A,0)),
                    IFERROR(
                        INDEX([1]NVship!B:B,MATCH(A695,[1]NVship!A:A,0)),
                        IFERROR(
                            INDEX([1]海ship!B:B,MATCH(A695,[1]海ship!A:A,0)),
                            IFERROR(
                                INDEX([1]ｾﾚship!B:B,MATCH(A695,[1]ｾﾚship!A:A,0)),
                                IFERROR(
                                    INDEX([1]ｾﾚﾓﾆｰ商品ship!B:B,MATCH(A695,[1]ｾﾚﾓﾆｰ商品ship!A:A,0)),
                                    INDEX([2]NV!D:D,MATCH(A695,[2]NV!C:C,0))
                                )
                            )
                        )
                    )
                )
            )
        )
    )
)</f>
        <v>大閃光ﾌﾞﾚｰﾄﾞ300 ﾊﾟｽﾃﾙﾋﾟﾝｸｸﾞﾘｯﾌﾟ</v>
      </c>
      <c r="C695" s="16" t="s">
        <v>729</v>
      </c>
      <c r="D695" s="4" t="str">
        <f t="shared" si="30"/>
        <v>大閃光ﾌﾞﾚｰﾄﾞ300 ﾊﾟｽﾃﾙﾋﾟﾝｸｸﾞﾘｯﾌﾟ ｜ 1Fノベルティ【03】 ｜ C-1</v>
      </c>
      <c r="E695" s="11" t="str">
        <f t="shared" si="31"/>
        <v>1Fノベルティ</v>
      </c>
      <c r="F695" s="12" t="s">
        <v>744</v>
      </c>
      <c r="G695" s="11" t="str">
        <f t="shared" si="32"/>
        <v>03・1FノベルティC-1</v>
      </c>
    </row>
    <row r="696" spans="1:7" ht="15" customHeight="1" x14ac:dyDescent="0.2">
      <c r="A696" s="10" t="s">
        <v>514</v>
      </c>
      <c r="B696" s="10" t="str">
        <f>IFERROR(
    INDEX([1]FSHIP!B:B,MATCH(A696,[1]FSHIP!A:A,0)),
    IFERROR(
        INDEX([1]釣具商品ship!B:B,MATCH(A696,[1]釣具商品ship!A:A,0)),
        IFERROR(
            INDEX([1]玩具商品ship!B:B,MATCH(A696,[1]玩具商品ship!A:A,0)),
            IFERROR(
                INDEX([1]OEMship!B:B,MATCH(A696,[1]OEMship!A:A,0)),
                IFERROR(
                    INDEX([1]NV6ship!B:B,MATCH(A696,[1]NV6ship!A:A,0)),
                    IFERROR(
                        INDEX([1]NVship!B:B,MATCH(A696,[1]NVship!A:A,0)),
                        IFERROR(
                            INDEX([1]海ship!B:B,MATCH(A696,[1]海ship!A:A,0)),
                            IFERROR(
                                INDEX([1]ｾﾚship!B:B,MATCH(A696,[1]ｾﾚship!A:A,0)),
                                IFERROR(
                                    INDEX([1]ｾﾚﾓﾆｰ商品ship!B:B,MATCH(A696,[1]ｾﾚﾓﾆｰ商品ship!A:A,0)),
                                    INDEX([2]NV!D:D,MATCH(A696,[2]NV!C:C,0))
                                )
                            )
                        )
                    )
                )
            )
        )
    )
)</f>
        <v>大閃光ブレードＳ　グリップ WHITE LED</v>
      </c>
      <c r="C696" s="4" t="s">
        <v>513</v>
      </c>
      <c r="D696" s="4" t="str">
        <f t="shared" si="30"/>
        <v>大閃光ブレードＳ　グリップ WHITE LED ｜ 資材倉庫・ノベルティ【10】 ｜ P-1</v>
      </c>
      <c r="E696" s="11" t="str">
        <f t="shared" si="31"/>
        <v>資材倉庫・ノベルティ</v>
      </c>
      <c r="F696" s="12" t="s">
        <v>477</v>
      </c>
      <c r="G696" s="11" t="str">
        <f t="shared" si="32"/>
        <v>10・資材倉庫・ノベルティP-1</v>
      </c>
    </row>
    <row r="697" spans="1:7" ht="15" customHeight="1" x14ac:dyDescent="0.2">
      <c r="A697" s="10" t="s">
        <v>515</v>
      </c>
      <c r="B697" s="10" t="str">
        <f>IFERROR(
    INDEX([1]FSHIP!B:B,MATCH(A697,[1]FSHIP!A:A,0)),
    IFERROR(
        INDEX([1]釣具商品ship!B:B,MATCH(A697,[1]釣具商品ship!A:A,0)),
        IFERROR(
            INDEX([1]玩具商品ship!B:B,MATCH(A697,[1]玩具商品ship!A:A,0)),
            IFERROR(
                INDEX([1]OEMship!B:B,MATCH(A697,[1]OEMship!A:A,0)),
                IFERROR(
                    INDEX([1]NV6ship!B:B,MATCH(A697,[1]NV6ship!A:A,0)),
                    IFERROR(
                        INDEX([1]NVship!B:B,MATCH(A697,[1]NVship!A:A,0)),
                        IFERROR(
                            INDEX([1]海ship!B:B,MATCH(A697,[1]海ship!A:A,0)),
                            IFERROR(
                                INDEX([1]ｾﾚship!B:B,MATCH(A697,[1]ｾﾚship!A:A,0)),
                                IFERROR(
                                    INDEX([1]ｾﾚﾓﾆｰ商品ship!B:B,MATCH(A697,[1]ｾﾚﾓﾆｰ商品ship!A:A,0)),
                                    INDEX([2]NV!D:D,MATCH(A697,[2]NV!C:C,0))
                                )
                            )
                        )
                    )
                )
            )
        )
    )
)</f>
        <v>大閃光ブレードＳ　グリップ RED LED</v>
      </c>
      <c r="C697" s="4" t="s">
        <v>513</v>
      </c>
      <c r="D697" s="4" t="str">
        <f t="shared" si="30"/>
        <v>大閃光ブレードＳ　グリップ RED LED ｜ 資材倉庫・ノベルティ【10】 ｜ P-1</v>
      </c>
      <c r="E697" s="11" t="str">
        <f t="shared" si="31"/>
        <v>資材倉庫・ノベルティ</v>
      </c>
      <c r="F697" s="12" t="s">
        <v>477</v>
      </c>
      <c r="G697" s="11" t="str">
        <f t="shared" si="32"/>
        <v>10・資材倉庫・ノベルティP-1</v>
      </c>
    </row>
    <row r="698" spans="1:7" ht="15" customHeight="1" x14ac:dyDescent="0.2">
      <c r="A698" s="10" t="s">
        <v>524</v>
      </c>
      <c r="B698" s="10" t="str">
        <f>IFERROR(
    INDEX([1]FSHIP!B:B,MATCH(A698,[1]FSHIP!A:A,0)),
    IFERROR(
        INDEX([1]釣具商品ship!B:B,MATCH(A698,[1]釣具商品ship!A:A,0)),
        IFERROR(
            INDEX([1]玩具商品ship!B:B,MATCH(A698,[1]玩具商品ship!A:A,0)),
            IFERROR(
                INDEX([1]OEMship!B:B,MATCH(A698,[1]OEMship!A:A,0)),
                IFERROR(
                    INDEX([1]NV6ship!B:B,MATCH(A698,[1]NV6ship!A:A,0)),
                    IFERROR(
                        INDEX([1]NVship!B:B,MATCH(A698,[1]NVship!A:A,0)),
                        IFERROR(
                            INDEX([1]海ship!B:B,MATCH(A698,[1]海ship!A:A,0)),
                            IFERROR(
                                INDEX([1]ｾﾚship!B:B,MATCH(A698,[1]ｾﾚship!A:A,0)),
                                IFERROR(
                                    INDEX([1]ｾﾚﾓﾆｰ商品ship!B:B,MATCH(A698,[1]ｾﾚﾓﾆｰ商品ship!A:A,0)),
                                    INDEX([2]NV!D:D,MATCH(A698,[2]NV!C:C,0))
                                )
                            )
                        )
                    )
                )
            )
        )
    )
)</f>
        <v>共通ﾌｨﾙﾑ(白)(ACE3/ﾌﾞﾚｰﾄﾞS/ﾊｰﾌ/vol.2)</v>
      </c>
      <c r="C698" s="4" t="s">
        <v>529</v>
      </c>
      <c r="D698" s="4" t="str">
        <f t="shared" si="30"/>
        <v>共通ﾌｨﾙﾑ(白)(ACE3/ﾌﾞﾚｰﾄﾞS/ﾊｰﾌ/vol.2) ｜ 資材倉庫・ノベルティ【10】 ｜ Q-1</v>
      </c>
      <c r="E698" s="11" t="str">
        <f t="shared" si="31"/>
        <v>資材倉庫・ノベルティ</v>
      </c>
      <c r="F698" s="12" t="s">
        <v>477</v>
      </c>
      <c r="G698" s="11" t="str">
        <f t="shared" si="32"/>
        <v>10・資材倉庫・ノベルティQ-1</v>
      </c>
    </row>
    <row r="699" spans="1:7" ht="15" customHeight="1" x14ac:dyDescent="0.2">
      <c r="A699" s="14" t="s">
        <v>712</v>
      </c>
      <c r="B699" s="10" t="str">
        <f>IFERROR(
    INDEX([1]FSHIP!B:B,MATCH(A699,[1]FSHIP!A:A,0)),
    IFERROR(
        INDEX([1]釣具商品ship!B:B,MATCH(A699,[1]釣具商品ship!A:A,0)),
        IFERROR(
            INDEX([1]玩具商品ship!B:B,MATCH(A699,[1]玩具商品ship!A:A,0)),
            IFERROR(
                INDEX([1]OEMship!B:B,MATCH(A699,[1]OEMship!A:A,0)),
                IFERROR(
                    INDEX([1]NV6ship!B:B,MATCH(A699,[1]NV6ship!A:A,0)),
                    IFERROR(
                        INDEX([1]NVship!B:B,MATCH(A699,[1]NVship!A:A,0)),
                        IFERROR(
                            INDEX([1]海ship!B:B,MATCH(A699,[1]海ship!A:A,0)),
                            IFERROR(
                                INDEX([1]ｾﾚship!B:B,MATCH(A699,[1]ｾﾚship!A:A,0)),
                                IFERROR(
                                    INDEX([1]ｾﾚﾓﾆｰ商品ship!B:B,MATCH(A699,[1]ｾﾚﾓﾆｰ商品ship!A:A,0)),
                                    INDEX([2]NV!D:D,MATCH(A699,[2]NV!C:C,0))
                                )
                            )
                        )
                    )
                )
            )
        )
    )
)</f>
        <v>共通ﾁｭｰﾌﾞ(ACE3/ﾌﾞﾚｰﾄﾞS/ﾊｰﾌ/vol.2)</v>
      </c>
      <c r="C699" s="16" t="s">
        <v>472</v>
      </c>
      <c r="D699" s="4" t="str">
        <f t="shared" si="30"/>
        <v>共通ﾁｭｰﾌﾞ(ACE3/ﾌﾞﾚｰﾄﾞS/ﾊｰﾌ/vol.2) ｜ テント倉庫【01】 ｜ A-1</v>
      </c>
      <c r="E699" s="11" t="str">
        <f t="shared" si="31"/>
        <v>テント倉庫</v>
      </c>
      <c r="F699" s="12" t="s">
        <v>721</v>
      </c>
      <c r="G699" s="11" t="str">
        <f t="shared" si="32"/>
        <v>01・テント倉庫A-1</v>
      </c>
    </row>
    <row r="700" spans="1:7" ht="15" customHeight="1" x14ac:dyDescent="0.2">
      <c r="A700" s="14" t="s">
        <v>712</v>
      </c>
      <c r="B700" s="10" t="str">
        <f>IFERROR(
    INDEX([1]FSHIP!B:B,MATCH(A700,[1]FSHIP!A:A,0)),
    IFERROR(
        INDEX([1]釣具商品ship!B:B,MATCH(A700,[1]釣具商品ship!A:A,0)),
        IFERROR(
            INDEX([1]玩具商品ship!B:B,MATCH(A700,[1]玩具商品ship!A:A,0)),
            IFERROR(
                INDEX([1]OEMship!B:B,MATCH(A700,[1]OEMship!A:A,0)),
                IFERROR(
                    INDEX([1]NV6ship!B:B,MATCH(A700,[1]NV6ship!A:A,0)),
                    IFERROR(
                        INDEX([1]NVship!B:B,MATCH(A700,[1]NVship!A:A,0)),
                        IFERROR(
                            INDEX([1]海ship!B:B,MATCH(A700,[1]海ship!A:A,0)),
                            IFERROR(
                                INDEX([1]ｾﾚship!B:B,MATCH(A700,[1]ｾﾚship!A:A,0)),
                                IFERROR(
                                    INDEX([1]ｾﾚﾓﾆｰ商品ship!B:B,MATCH(A700,[1]ｾﾚﾓﾆｰ商品ship!A:A,0)),
                                    INDEX([2]NV!D:D,MATCH(A700,[2]NV!C:C,0))
                                )
                            )
                        )
                    )
                )
            )
        )
    )
)</f>
        <v>共通ﾁｭｰﾌﾞ(ACE3/ﾌﾞﾚｰﾄﾞS/ﾊｰﾌ/vol.2)</v>
      </c>
      <c r="C700" s="16" t="s">
        <v>472</v>
      </c>
      <c r="D700" s="4" t="str">
        <f t="shared" si="30"/>
        <v>共通ﾁｭｰﾌﾞ(ACE3/ﾌﾞﾚｰﾄﾞS/ﾊｰﾌ/vol.2) ｜ テント倉庫【01】 ｜ A-1</v>
      </c>
      <c r="E700" s="11" t="str">
        <f t="shared" si="31"/>
        <v>テント倉庫</v>
      </c>
      <c r="F700" s="12" t="s">
        <v>721</v>
      </c>
      <c r="G700" s="11" t="str">
        <f t="shared" si="32"/>
        <v>01・テント倉庫A-1</v>
      </c>
    </row>
    <row r="701" spans="1:7" ht="15" customHeight="1" x14ac:dyDescent="0.2">
      <c r="A701" s="10" t="s">
        <v>486</v>
      </c>
      <c r="B701" s="10" t="str">
        <f>IFERROR(
    INDEX([1]FSHIP!B:B,MATCH(A701,[1]FSHIP!A:A,0)),
    IFERROR(
        INDEX([1]釣具商品ship!B:B,MATCH(A701,[1]釣具商品ship!A:A,0)),
        IFERROR(
            INDEX([1]玩具商品ship!B:B,MATCH(A701,[1]玩具商品ship!A:A,0)),
            IFERROR(
                INDEX([1]OEMship!B:B,MATCH(A701,[1]OEMship!A:A,0)),
                IFERROR(
                    INDEX([1]NV6ship!B:B,MATCH(A701,[1]NV6ship!A:A,0)),
                    IFERROR(
                        INDEX([1]NVship!B:B,MATCH(A701,[1]NVship!A:A,0)),
                        IFERROR(
                            INDEX([1]海ship!B:B,MATCH(A701,[1]海ship!A:A,0)),
                            IFERROR(
                                INDEX([1]ｾﾚship!B:B,MATCH(A701,[1]ｾﾚship!A:A,0)),
                                IFERROR(
                                    INDEX([1]ｾﾚﾓﾆｰ商品ship!B:B,MATCH(A701,[1]ｾﾚﾓﾆｰ商品ship!A:A,0)),
                                    INDEX([2]NV!D:D,MATCH(A701,[2]NV!C:C,0))
                                )
                            )
                        )
                    )
                )
            )
        )
    )
)</f>
        <v>ルミジュエル　スター</v>
      </c>
      <c r="C701" s="4" t="s">
        <v>391</v>
      </c>
      <c r="D701" s="10" t="str">
        <f t="shared" si="30"/>
        <v>ルミジュエル　スター ｜ 資材倉庫・ノベルティ【10】 ｜ M-1</v>
      </c>
      <c r="E701" s="11" t="str">
        <f t="shared" si="31"/>
        <v>資材倉庫・ノベルティ</v>
      </c>
      <c r="F701" s="12" t="s">
        <v>477</v>
      </c>
      <c r="G701" s="11" t="str">
        <f t="shared" si="32"/>
        <v>10・資材倉庫・ノベルティM-1</v>
      </c>
    </row>
    <row r="702" spans="1:7" ht="15" customHeight="1" x14ac:dyDescent="0.2">
      <c r="A702" s="10" t="s">
        <v>493</v>
      </c>
      <c r="B702" s="10" t="str">
        <f>IFERROR(
    INDEX([1]FSHIP!B:B,MATCH(A702,[1]FSHIP!A:A,0)),
    IFERROR(
        INDEX([1]釣具商品ship!B:B,MATCH(A702,[1]釣具商品ship!A:A,0)),
        IFERROR(
            INDEX([1]玩具商品ship!B:B,MATCH(A702,[1]玩具商品ship!A:A,0)),
            IFERROR(
                INDEX([1]OEMship!B:B,MATCH(A702,[1]OEMship!A:A,0)),
                IFERROR(
                    INDEX([1]NV6ship!B:B,MATCH(A702,[1]NV6ship!A:A,0)),
                    IFERROR(
                        INDEX([1]NVship!B:B,MATCH(A702,[1]NVship!A:A,0)),
                        IFERROR(
                            INDEX([1]海ship!B:B,MATCH(A702,[1]海ship!A:A,0)),
                            IFERROR(
                                INDEX([1]ｾﾚship!B:B,MATCH(A702,[1]ｾﾚship!A:A,0)),
                                IFERROR(
                                    INDEX([1]ｾﾚﾓﾆｰ商品ship!B:B,MATCH(A702,[1]ｾﾚﾓﾆｰ商品ship!A:A,0)),
                                    INDEX([2]NV!D:D,MATCH(A702,[2]NV!C:C,0))
                                )
                            )
                        )
                    )
                )
            )
        )
    )
)</f>
        <v>ルミジュエル　ハート</v>
      </c>
      <c r="C702" s="4" t="s">
        <v>382</v>
      </c>
      <c r="D702" s="10" t="str">
        <f t="shared" si="30"/>
        <v>ルミジュエル　ハート ｜ 資材倉庫・ノベルティ【10】 ｜ N-1</v>
      </c>
      <c r="E702" s="11" t="str">
        <f t="shared" si="31"/>
        <v>資材倉庫・ノベルティ</v>
      </c>
      <c r="F702" s="12" t="s">
        <v>477</v>
      </c>
      <c r="G702" s="11" t="str">
        <f t="shared" si="32"/>
        <v>10・資材倉庫・ノベルティN-1</v>
      </c>
    </row>
    <row r="703" spans="1:7" ht="15" customHeight="1" x14ac:dyDescent="0.2">
      <c r="A703" s="10" t="s">
        <v>487</v>
      </c>
      <c r="B703" s="10" t="str">
        <f>IFERROR(
    INDEX([1]FSHIP!B:B,MATCH(A703,[1]FSHIP!A:A,0)),
    IFERROR(
        INDEX([1]釣具商品ship!B:B,MATCH(A703,[1]釣具商品ship!A:A,0)),
        IFERROR(
            INDEX([1]玩具商品ship!B:B,MATCH(A703,[1]玩具商品ship!A:A,0)),
            IFERROR(
                INDEX([1]OEMship!B:B,MATCH(A703,[1]OEMship!A:A,0)),
                IFERROR(
                    INDEX([1]NV6ship!B:B,MATCH(A703,[1]NV6ship!A:A,0)),
                    IFERROR(
                        INDEX([1]NVship!B:B,MATCH(A703,[1]NVship!A:A,0)),
                        IFERROR(
                            INDEX([1]海ship!B:B,MATCH(A703,[1]海ship!A:A,0)),
                            IFERROR(
                                INDEX([1]ｾﾚship!B:B,MATCH(A703,[1]ｾﾚship!A:A,0)),
                                IFERROR(
                                    INDEX([1]ｾﾚﾓﾆｰ商品ship!B:B,MATCH(A703,[1]ｾﾚﾓﾆｰ商品ship!A:A,0)),
                                    INDEX([2]NV!D:D,MATCH(A703,[2]NV!C:C,0))
                                )
                            )
                        )
                    )
                )
            )
        )
    )
)</f>
        <v>ルミジュエル　ラウンド</v>
      </c>
      <c r="C703" s="4" t="s">
        <v>391</v>
      </c>
      <c r="D703" s="10" t="str">
        <f t="shared" si="30"/>
        <v>ルミジュエル　ラウンド ｜ 資材倉庫・ノベルティ【10】 ｜ M-1</v>
      </c>
      <c r="E703" s="11" t="str">
        <f t="shared" si="31"/>
        <v>資材倉庫・ノベルティ</v>
      </c>
      <c r="F703" s="12" t="s">
        <v>477</v>
      </c>
      <c r="G703" s="11" t="str">
        <f t="shared" si="32"/>
        <v>10・資材倉庫・ノベルティM-1</v>
      </c>
    </row>
    <row r="704" spans="1:7" ht="15" customHeight="1" x14ac:dyDescent="0.2">
      <c r="A704" s="14" t="s">
        <v>716</v>
      </c>
      <c r="B704" s="10" t="str">
        <f>IFERROR(
    INDEX([1]FSHIP!B:B,MATCH(A704,[1]FSHIP!A:A,0)),
    IFERROR(
        INDEX([1]釣具商品ship!B:B,MATCH(A704,[1]釣具商品ship!A:A,0)),
        IFERROR(
            INDEX([1]玩具商品ship!B:B,MATCH(A704,[1]玩具商品ship!A:A,0)),
            IFERROR(
                INDEX([1]OEMship!B:B,MATCH(A704,[1]OEMship!A:A,0)),
                IFERROR(
                    INDEX([1]NV6ship!B:B,MATCH(A704,[1]NV6ship!A:A,0)),
                    IFERROR(
                        INDEX([1]NVship!B:B,MATCH(A704,[1]NVship!A:A,0)),
                        IFERROR(
                            INDEX([1]海ship!B:B,MATCH(A704,[1]海ship!A:A,0)),
                            IFERROR(
                                INDEX([1]ｾﾚship!B:B,MATCH(A704,[1]ｾﾚship!A:A,0)),
                                IFERROR(
                                    INDEX([1]ｾﾚﾓﾆｰ商品ship!B:B,MATCH(A704,[1]ｾﾚﾓﾆｰ商品ship!A:A,0)),
                                    INDEX([2]NV!D:D,MATCH(A704,[2]NV!C:C,0))
                                )
                            )
                        )
                    )
                )
            )
        )
    )
)</f>
        <v>大閃光ブレード ハーフ グリップ</v>
      </c>
      <c r="C704" s="16" t="s">
        <v>472</v>
      </c>
      <c r="D704" s="4" t="str">
        <f t="shared" si="30"/>
        <v>大閃光ブレード ハーフ グリップ ｜ テント倉庫【01】 ｜ A-1</v>
      </c>
      <c r="E704" s="11" t="str">
        <f t="shared" si="31"/>
        <v>テント倉庫</v>
      </c>
      <c r="F704" s="12" t="s">
        <v>721</v>
      </c>
      <c r="G704" s="11" t="str">
        <f t="shared" si="32"/>
        <v>01・テント倉庫A-1</v>
      </c>
    </row>
    <row r="705" spans="1:7" ht="15" customHeight="1" x14ac:dyDescent="0.2">
      <c r="A705" s="10" t="s">
        <v>636</v>
      </c>
      <c r="B705" s="10" t="str">
        <f>IFERROR(
    INDEX([1]FSHIP!B:B,MATCH(A705,[1]FSHIP!A:A,0)),
    IFERROR(
        INDEX([1]釣具商品ship!B:B,MATCH(A705,[1]釣具商品ship!A:A,0)),
        IFERROR(
            INDEX([1]玩具商品ship!B:B,MATCH(A705,[1]玩具商品ship!A:A,0)),
            IFERROR(
                INDEX([1]OEMship!B:B,MATCH(A705,[1]OEMship!A:A,0)),
                IFERROR(
                    INDEX([1]NV6ship!B:B,MATCH(A705,[1]NV6ship!A:A,0)),
                    IFERROR(
                        INDEX([1]NVship!B:B,MATCH(A705,[1]NVship!A:A,0)),
                        IFERROR(
                            INDEX([1]海ship!B:B,MATCH(A705,[1]海ship!A:A,0)),
                            IFERROR(
                                INDEX([1]ｾﾚship!B:B,MATCH(A705,[1]ｾﾚship!A:A,0)),
                                IFERROR(
                                    INDEX([1]ｾﾚﾓﾆｰ商品ship!B:B,MATCH(A705,[1]ｾﾚﾓﾆｰ商品ship!A:A,0)),
                                    INDEX([2]NV!D:D,MATCH(A705,[2]NV!C:C,0))
                                )
                            )
                        )
                    )
                )
            )
        )
    )
)</f>
        <v>LUMI HEART (ﾙﾐﾊｰﾄ)</v>
      </c>
      <c r="C705" s="4" t="s">
        <v>472</v>
      </c>
      <c r="D705" s="10" t="str">
        <f t="shared" si="30"/>
        <v>LUMI HEART (ﾙﾐﾊｰﾄ) ｜ 資材倉庫・ノベルティ【10】 ｜ A-1</v>
      </c>
      <c r="E705" s="11" t="str">
        <f t="shared" si="31"/>
        <v>資材倉庫・ノベルティ</v>
      </c>
      <c r="F705" s="12" t="s">
        <v>674</v>
      </c>
      <c r="G705" s="11" t="str">
        <f t="shared" si="32"/>
        <v>10・資材倉庫・ノベルティA-1</v>
      </c>
    </row>
    <row r="706" spans="1:7" ht="15" customHeight="1" x14ac:dyDescent="0.2">
      <c r="A706" s="10" t="s">
        <v>669</v>
      </c>
      <c r="B706" s="10" t="str">
        <f>IFERROR(
    INDEX([1]FSHIP!B:B,MATCH(A706,[1]FSHIP!A:A,0)),
    IFERROR(
        INDEX([1]釣具商品ship!B:B,MATCH(A706,[1]釣具商品ship!A:A,0)),
        IFERROR(
            INDEX([1]玩具商品ship!B:B,MATCH(A706,[1]玩具商品ship!A:A,0)),
            IFERROR(
                INDEX([1]OEMship!B:B,MATCH(A706,[1]OEMship!A:A,0)),
                IFERROR(
                    INDEX([1]NV6ship!B:B,MATCH(A706,[1]NV6ship!A:A,0)),
                    IFERROR(
                        INDEX([1]NVship!B:B,MATCH(A706,[1]NVship!A:A,0)),
                        IFERROR(
                            INDEX([1]海ship!B:B,MATCH(A706,[1]海ship!A:A,0)),
                            IFERROR(
                                INDEX([1]ｾﾚship!B:B,MATCH(A706,[1]ｾﾚship!A:A,0)),
                                IFERROR(
                                    INDEX([1]ｾﾚﾓﾆｰ商品ship!B:B,MATCH(A706,[1]ｾﾚﾓﾆｰ商品ship!A:A,0)),
                                    INDEX([2]NV!D:D,MATCH(A706,[2]NV!C:C,0))
                                )
                            )
                        )
                    )
                )
            )
        )
    )
)</f>
        <v>大閃光ブレード100　グリップ(黒)　STR</v>
      </c>
      <c r="C706" s="4" t="s">
        <v>472</v>
      </c>
      <c r="D706" s="10" t="str">
        <f t="shared" ref="D706:D769" si="33">B706&amp;" ｜ "&amp;E706&amp;"【"&amp;F706&amp;"】 ｜ "&amp;C706</f>
        <v>大閃光ブレード100　グリップ(黒)　STR ｜ 資材倉庫・ノベルティ【10】 ｜ A-1</v>
      </c>
      <c r="E706" s="11" t="str">
        <f t="shared" ref="E706:E769" si="34">INDEX(K:K, MATCH(F706, J:J, 0))</f>
        <v>資材倉庫・ノベルティ</v>
      </c>
      <c r="F706" s="12" t="s">
        <v>674</v>
      </c>
      <c r="G706" s="11" t="str">
        <f t="shared" ref="G706:G769" si="35">F706&amp;"・"&amp;E706&amp;C706</f>
        <v>10・資材倉庫・ノベルティA-1</v>
      </c>
    </row>
    <row r="707" spans="1:7" ht="15" customHeight="1" x14ac:dyDescent="0.2">
      <c r="A707" s="10" t="s">
        <v>670</v>
      </c>
      <c r="B707" s="10" t="str">
        <f>IFERROR(
    INDEX([1]FSHIP!B:B,MATCH(A707,[1]FSHIP!A:A,0)),
    IFERROR(
        INDEX([1]釣具商品ship!B:B,MATCH(A707,[1]釣具商品ship!A:A,0)),
        IFERROR(
            INDEX([1]玩具商品ship!B:B,MATCH(A707,[1]玩具商品ship!A:A,0)),
            IFERROR(
                INDEX([1]OEMship!B:B,MATCH(A707,[1]OEMship!A:A,0)),
                IFERROR(
                    INDEX([1]NV6ship!B:B,MATCH(A707,[1]NV6ship!A:A,0)),
                    IFERROR(
                        INDEX([1]NVship!B:B,MATCH(A707,[1]NVship!A:A,0)),
                        IFERROR(
                            INDEX([1]海ship!B:B,MATCH(A707,[1]海ship!A:A,0)),
                            IFERROR(
                                INDEX([1]ｾﾚship!B:B,MATCH(A707,[1]ｾﾚship!A:A,0)),
                                IFERROR(
                                    INDEX([1]ｾﾚﾓﾆｰ商品ship!B:B,MATCH(A707,[1]ｾﾚﾓﾆｰ商品ship!A:A,0)),
                                    INDEX([2]NV!D:D,MATCH(A707,[2]NV!C:C,0))
                                )
                            )
                        )
                    )
                )
            )
        )
    )
)</f>
        <v>大閃光ブレード100　フィルム　STR</v>
      </c>
      <c r="C707" s="4" t="s">
        <v>472</v>
      </c>
      <c r="D707" s="10" t="str">
        <f t="shared" si="33"/>
        <v>大閃光ブレード100　フィルム　STR ｜ 資材倉庫・ノベルティ【10】 ｜ A-1</v>
      </c>
      <c r="E707" s="11" t="str">
        <f t="shared" si="34"/>
        <v>資材倉庫・ノベルティ</v>
      </c>
      <c r="F707" s="12" t="s">
        <v>674</v>
      </c>
      <c r="G707" s="11" t="str">
        <f t="shared" si="35"/>
        <v>10・資材倉庫・ノベルティA-1</v>
      </c>
    </row>
    <row r="708" spans="1:7" ht="15" customHeight="1" x14ac:dyDescent="0.2">
      <c r="A708" s="10" t="s">
        <v>525</v>
      </c>
      <c r="B708" s="10" t="str">
        <f>IFERROR(
    INDEX([1]FSHIP!B:B,MATCH(A708,[1]FSHIP!A:A,0)),
    IFERROR(
        INDEX([1]釣具商品ship!B:B,MATCH(A708,[1]釣具商品ship!A:A,0)),
        IFERROR(
            INDEX([1]玩具商品ship!B:B,MATCH(A708,[1]玩具商品ship!A:A,0)),
            IFERROR(
                INDEX([1]OEMship!B:B,MATCH(A708,[1]OEMship!A:A,0)),
                IFERROR(
                    INDEX([1]NV6ship!B:B,MATCH(A708,[1]NV6ship!A:A,0)),
                    IFERROR(
                        INDEX([1]NVship!B:B,MATCH(A708,[1]NVship!A:A,0)),
                        IFERROR(
                            INDEX([1]海ship!B:B,MATCH(A708,[1]海ship!A:A,0)),
                            IFERROR(
                                INDEX([1]ｾﾚship!B:B,MATCH(A708,[1]ｾﾚship!A:A,0)),
                                IFERROR(
                                    INDEX([1]ｾﾚﾓﾆｰ商品ship!B:B,MATCH(A708,[1]ｾﾚﾓﾆｰ商品ship!A:A,0)),
                                    INDEX([2]NV!D:D,MATCH(A708,[2]NV!C:C,0))
                                )
                            )
                        )
                    )
                )
            )
        )
    )
)</f>
        <v>大閃光ブレード100　フィルム　STR</v>
      </c>
      <c r="C708" s="4" t="s">
        <v>529</v>
      </c>
      <c r="D708" s="4" t="str">
        <f t="shared" si="33"/>
        <v>大閃光ブレード100　フィルム　STR ｜ 資材倉庫・ノベルティ【10】 ｜ Q-1</v>
      </c>
      <c r="E708" s="11" t="str">
        <f t="shared" si="34"/>
        <v>資材倉庫・ノベルティ</v>
      </c>
      <c r="F708" s="12" t="s">
        <v>477</v>
      </c>
      <c r="G708" s="11" t="str">
        <f t="shared" si="35"/>
        <v>10・資材倉庫・ノベルティQ-1</v>
      </c>
    </row>
    <row r="709" spans="1:7" ht="15" customHeight="1" x14ac:dyDescent="0.2">
      <c r="A709" s="10" t="s">
        <v>671</v>
      </c>
      <c r="B709" s="10" t="str">
        <f>IFERROR(
    INDEX([1]FSHIP!B:B,MATCH(A709,[1]FSHIP!A:A,0)),
    IFERROR(
        INDEX([1]釣具商品ship!B:B,MATCH(A709,[1]釣具商品ship!A:A,0)),
        IFERROR(
            INDEX([1]玩具商品ship!B:B,MATCH(A709,[1]玩具商品ship!A:A,0)),
            IFERROR(
                INDEX([1]OEMship!B:B,MATCH(A709,[1]OEMship!A:A,0)),
                IFERROR(
                    INDEX([1]NV6ship!B:B,MATCH(A709,[1]NV6ship!A:A,0)),
                    IFERROR(
                        INDEX([1]NVship!B:B,MATCH(A709,[1]NVship!A:A,0)),
                        IFERROR(
                            INDEX([1]海ship!B:B,MATCH(A709,[1]海ship!A:A,0)),
                            IFERROR(
                                INDEX([1]ｾﾚship!B:B,MATCH(A709,[1]ｾﾚship!A:A,0)),
                                IFERROR(
                                    INDEX([1]ｾﾚﾓﾆｰ商品ship!B:B,MATCH(A709,[1]ｾﾚﾓﾆｰ商品ship!A:A,0)),
                                    INDEX([2]NV!D:D,MATCH(A709,[2]NV!C:C,0))
                                )
                            )
                        )
                    )
                )
            )
        )
    )
)</f>
        <v>大閃光ブレード100　グリップ　STR</v>
      </c>
      <c r="C709" s="4" t="s">
        <v>472</v>
      </c>
      <c r="D709" s="10" t="str">
        <f t="shared" si="33"/>
        <v>大閃光ブレード100　グリップ　STR ｜ 資材倉庫・ノベルティ【10】 ｜ A-1</v>
      </c>
      <c r="E709" s="11" t="str">
        <f t="shared" si="34"/>
        <v>資材倉庫・ノベルティ</v>
      </c>
      <c r="F709" s="12" t="s">
        <v>674</v>
      </c>
      <c r="G709" s="11" t="str">
        <f t="shared" si="35"/>
        <v>10・資材倉庫・ノベルティA-1</v>
      </c>
    </row>
    <row r="710" spans="1:7" ht="15" customHeight="1" x14ac:dyDescent="0.2">
      <c r="A710" s="10" t="s">
        <v>526</v>
      </c>
      <c r="B710" s="10" t="str">
        <f>IFERROR(
    INDEX([1]FSHIP!B:B,MATCH(A710,[1]FSHIP!A:A,0)),
    IFERROR(
        INDEX([1]釣具商品ship!B:B,MATCH(A710,[1]釣具商品ship!A:A,0)),
        IFERROR(
            INDEX([1]玩具商品ship!B:B,MATCH(A710,[1]玩具商品ship!A:A,0)),
            IFERROR(
                INDEX([1]OEMship!B:B,MATCH(A710,[1]OEMship!A:A,0)),
                IFERROR(
                    INDEX([1]NV6ship!B:B,MATCH(A710,[1]NV6ship!A:A,0)),
                    IFERROR(
                        INDEX([1]NVship!B:B,MATCH(A710,[1]NVship!A:A,0)),
                        IFERROR(
                            INDEX([1]海ship!B:B,MATCH(A710,[1]海ship!A:A,0)),
                            IFERROR(
                                INDEX([1]ｾﾚship!B:B,MATCH(A710,[1]ｾﾚship!A:A,0)),
                                IFERROR(
                                    INDEX([1]ｾﾚﾓﾆｰ商品ship!B:B,MATCH(A710,[1]ｾﾚﾓﾆｰ商品ship!A:A,0)),
                                    INDEX([2]NV!D:D,MATCH(A710,[2]NV!C:C,0))
                                )
                            )
                        )
                    )
                )
            )
        )
    )
)</f>
        <v>大閃光ブレード100　グリップ　STR</v>
      </c>
      <c r="C710" s="4" t="s">
        <v>529</v>
      </c>
      <c r="D710" s="4" t="str">
        <f t="shared" si="33"/>
        <v>大閃光ブレード100　グリップ　STR ｜ 資材倉庫・ノベルティ【10】 ｜ Q-1</v>
      </c>
      <c r="E710" s="11" t="str">
        <f t="shared" si="34"/>
        <v>資材倉庫・ノベルティ</v>
      </c>
      <c r="F710" s="12" t="s">
        <v>477</v>
      </c>
      <c r="G710" s="11" t="str">
        <f t="shared" si="35"/>
        <v>10・資材倉庫・ノベルティQ-1</v>
      </c>
    </row>
    <row r="711" spans="1:7" ht="15" customHeight="1" x14ac:dyDescent="0.2">
      <c r="A711" s="10" t="s">
        <v>672</v>
      </c>
      <c r="B711" s="10" t="str">
        <f>IFERROR(
    INDEX([1]FSHIP!B:B,MATCH(A711,[1]FSHIP!A:A,0)),
    IFERROR(
        INDEX([1]釣具商品ship!B:B,MATCH(A711,[1]釣具商品ship!A:A,0)),
        IFERROR(
            INDEX([1]玩具商品ship!B:B,MATCH(A711,[1]玩具商品ship!A:A,0)),
            IFERROR(
                INDEX([1]OEMship!B:B,MATCH(A711,[1]OEMship!A:A,0)),
                IFERROR(
                    INDEX([1]NV6ship!B:B,MATCH(A711,[1]NV6ship!A:A,0)),
                    IFERROR(
                        INDEX([1]NVship!B:B,MATCH(A711,[1]NVship!A:A,0)),
                        IFERROR(
                            INDEX([1]海ship!B:B,MATCH(A711,[1]海ship!A:A,0)),
                            IFERROR(
                                INDEX([1]ｾﾚship!B:B,MATCH(A711,[1]ｾﾚship!A:A,0)),
                                IFERROR(
                                    INDEX([1]ｾﾚﾓﾆｰ商品ship!B:B,MATCH(A711,[1]ｾﾚﾓﾆｰ商品ship!A:A,0)),
                                    INDEX([2]NV!D:D,MATCH(A711,[2]NV!C:C,0))
                                )
                            )
                        )
                    )
                )
            )
        )
    )
)</f>
        <v>大閃光ブレード100　チューブ　STR</v>
      </c>
      <c r="C711" s="4" t="s">
        <v>472</v>
      </c>
      <c r="D711" s="10" t="str">
        <f t="shared" si="33"/>
        <v>大閃光ブレード100　チューブ　STR ｜ 資材倉庫・ノベルティ【10】 ｜ A-1</v>
      </c>
      <c r="E711" s="11" t="str">
        <f t="shared" si="34"/>
        <v>資材倉庫・ノベルティ</v>
      </c>
      <c r="F711" s="12" t="s">
        <v>674</v>
      </c>
      <c r="G711" s="11" t="str">
        <f t="shared" si="35"/>
        <v>10・資材倉庫・ノベルティA-1</v>
      </c>
    </row>
    <row r="712" spans="1:7" ht="15" customHeight="1" x14ac:dyDescent="0.2">
      <c r="A712" s="10" t="s">
        <v>527</v>
      </c>
      <c r="B712" s="10" t="str">
        <f>IFERROR(
    INDEX([1]FSHIP!B:B,MATCH(A712,[1]FSHIP!A:A,0)),
    IFERROR(
        INDEX([1]釣具商品ship!B:B,MATCH(A712,[1]釣具商品ship!A:A,0)),
        IFERROR(
            INDEX([1]玩具商品ship!B:B,MATCH(A712,[1]玩具商品ship!A:A,0)),
            IFERROR(
                INDEX([1]OEMship!B:B,MATCH(A712,[1]OEMship!A:A,0)),
                IFERROR(
                    INDEX([1]NV6ship!B:B,MATCH(A712,[1]NV6ship!A:A,0)),
                    IFERROR(
                        INDEX([1]NVship!B:B,MATCH(A712,[1]NVship!A:A,0)),
                        IFERROR(
                            INDEX([1]海ship!B:B,MATCH(A712,[1]海ship!A:A,0)),
                            IFERROR(
                                INDEX([1]ｾﾚship!B:B,MATCH(A712,[1]ｾﾚship!A:A,0)),
                                IFERROR(
                                    INDEX([1]ｾﾚﾓﾆｰ商品ship!B:B,MATCH(A712,[1]ｾﾚﾓﾆｰ商品ship!A:A,0)),
                                    INDEX([2]NV!D:D,MATCH(A712,[2]NV!C:C,0))
                                )
                            )
                        )
                    )
                )
            )
        )
    )
)</f>
        <v>大閃光ブレード100　チューブ　STR</v>
      </c>
      <c r="C712" s="4" t="s">
        <v>529</v>
      </c>
      <c r="D712" s="4" t="str">
        <f t="shared" si="33"/>
        <v>大閃光ブレード100　チューブ　STR ｜ 資材倉庫・ノベルティ【10】 ｜ Q-1</v>
      </c>
      <c r="E712" s="11" t="str">
        <f t="shared" si="34"/>
        <v>資材倉庫・ノベルティ</v>
      </c>
      <c r="F712" s="12" t="s">
        <v>477</v>
      </c>
      <c r="G712" s="11" t="str">
        <f t="shared" si="35"/>
        <v>10・資材倉庫・ノベルティQ-1</v>
      </c>
    </row>
    <row r="713" spans="1:7" ht="15" customHeight="1" x14ac:dyDescent="0.2">
      <c r="A713" s="10" t="s">
        <v>528</v>
      </c>
      <c r="B713" s="10" t="str">
        <f>IFERROR(
    INDEX([1]FSHIP!B:B,MATCH(A713,[1]FSHIP!A:A,0)),
    IFERROR(
        INDEX([1]釣具商品ship!B:B,MATCH(A713,[1]釣具商品ship!A:A,0)),
        IFERROR(
            INDEX([1]玩具商品ship!B:B,MATCH(A713,[1]玩具商品ship!A:A,0)),
            IFERROR(
                INDEX([1]OEMship!B:B,MATCH(A713,[1]OEMship!A:A,0)),
                IFERROR(
                    INDEX([1]NV6ship!B:B,MATCH(A713,[1]NV6ship!A:A,0)),
                    IFERROR(
                        INDEX([1]NVship!B:B,MATCH(A713,[1]NVship!A:A,0)),
                        IFERROR(
                            INDEX([1]海ship!B:B,MATCH(A713,[1]海ship!A:A,0)),
                            IFERROR(
                                INDEX([1]ｾﾚship!B:B,MATCH(A713,[1]ｾﾚship!A:A,0)),
                                IFERROR(
                                    INDEX([1]ｾﾚﾓﾆｰ商品ship!B:B,MATCH(A713,[1]ｾﾚﾓﾆｰ商品ship!A:A,0)),
                                    INDEX([2]NV!D:D,MATCH(A713,[2]NV!C:C,0))
                                )
                            )
                        )
                    )
                )
            )
        )
    )
)</f>
        <v>Lumi-Airグリップ(白)旧</v>
      </c>
      <c r="C713" s="4" t="s">
        <v>529</v>
      </c>
      <c r="D713" s="4" t="str">
        <f t="shared" si="33"/>
        <v>Lumi-Airグリップ(白)旧 ｜ 資材倉庫・ノベルティ【10】 ｜ Q-1</v>
      </c>
      <c r="E713" s="11" t="str">
        <f t="shared" si="34"/>
        <v>資材倉庫・ノベルティ</v>
      </c>
      <c r="F713" s="12" t="s">
        <v>477</v>
      </c>
      <c r="G713" s="11" t="str">
        <f t="shared" si="35"/>
        <v>10・資材倉庫・ノベルティQ-1</v>
      </c>
    </row>
    <row r="714" spans="1:7" ht="15" customHeight="1" x14ac:dyDescent="0.2">
      <c r="A714" s="14" t="s">
        <v>718</v>
      </c>
      <c r="B714" s="10" t="str">
        <f>IFERROR(
    INDEX([1]FSHIP!B:B,MATCH(A714,[1]FSHIP!A:A,0)),
    IFERROR(
        INDEX([1]釣具商品ship!B:B,MATCH(A714,[1]釣具商品ship!A:A,0)),
        IFERROR(
            INDEX([1]玩具商品ship!B:B,MATCH(A714,[1]玩具商品ship!A:A,0)),
            IFERROR(
                INDEX([1]OEMship!B:B,MATCH(A714,[1]OEMship!A:A,0)),
                IFERROR(
                    INDEX([1]NV6ship!B:B,MATCH(A714,[1]NV6ship!A:A,0)),
                    IFERROR(
                        INDEX([1]NVship!B:B,MATCH(A714,[1]NVship!A:A,0)),
                        IFERROR(
                            INDEX([1]海ship!B:B,MATCH(A714,[1]海ship!A:A,0)),
                            IFERROR(
                                INDEX([1]ｾﾚship!B:B,MATCH(A714,[1]ｾﾚship!A:A,0)),
                                IFERROR(
                                    INDEX([1]ｾﾚﾓﾆｰ商品ship!B:B,MATCH(A714,[1]ｾﾚﾓﾆｰ商品ship!A:A,0)),
                                    INDEX([2]NV!D:D,MATCH(A714,[2]NV!C:C,0))
                                )
                            )
                        )
                    )
                )
            )
        )
    )
)</f>
        <v>大閃光ブレード ハーフ グリップ黒</v>
      </c>
      <c r="C714" s="16" t="s">
        <v>472</v>
      </c>
      <c r="D714" s="4" t="str">
        <f t="shared" si="33"/>
        <v>大閃光ブレード ハーフ グリップ黒 ｜ テント倉庫【01】 ｜ A-1</v>
      </c>
      <c r="E714" s="11" t="str">
        <f t="shared" si="34"/>
        <v>テント倉庫</v>
      </c>
      <c r="F714" s="12" t="s">
        <v>721</v>
      </c>
      <c r="G714" s="11" t="str">
        <f t="shared" si="35"/>
        <v>01・テント倉庫A-1</v>
      </c>
    </row>
    <row r="715" spans="1:7" ht="15" customHeight="1" x14ac:dyDescent="0.2">
      <c r="A715" s="10" t="s">
        <v>502</v>
      </c>
      <c r="B715" s="10" t="str">
        <f>IFERROR(
    INDEX([1]FSHIP!B:B,MATCH(A715,[1]FSHIP!A:A,0)),
    IFERROR(
        INDEX([1]釣具商品ship!B:B,MATCH(A715,[1]釣具商品ship!A:A,0)),
        IFERROR(
            INDEX([1]玩具商品ship!B:B,MATCH(A715,[1]玩具商品ship!A:A,0)),
            IFERROR(
                INDEX([1]OEMship!B:B,MATCH(A715,[1]OEMship!A:A,0)),
                IFERROR(
                    INDEX([1]NV6ship!B:B,MATCH(A715,[1]NV6ship!A:A,0)),
                    IFERROR(
                        INDEX([1]NVship!B:B,MATCH(A715,[1]NVship!A:A,0)),
                        IFERROR(
                            INDEX([1]海ship!B:B,MATCH(A715,[1]海ship!A:A,0)),
                            IFERROR(
                                INDEX([1]ｾﾚship!B:B,MATCH(A715,[1]ｾﾚship!A:A,0)),
                                IFERROR(
                                    INDEX([1]ｾﾚﾓﾆｰ商品ship!B:B,MATCH(A715,[1]ｾﾚﾓﾆｰ商品ship!A:A,0)),
                                    INDEX([2]NV!D:D,MATCH(A715,[2]NV!C:C,0))
                                )
                            )
                        )
                    )
                )
            )
        )
    )
)</f>
        <v>ぼくたちエレメンツ</v>
      </c>
      <c r="C715" s="4" t="s">
        <v>503</v>
      </c>
      <c r="D715" s="4" t="str">
        <f t="shared" si="33"/>
        <v>ぼくたちエレメンツ ｜ 資材倉庫・ノベルティ【10】 ｜ O-1</v>
      </c>
      <c r="E715" s="11" t="str">
        <f t="shared" si="34"/>
        <v>資材倉庫・ノベルティ</v>
      </c>
      <c r="F715" s="12" t="s">
        <v>477</v>
      </c>
      <c r="G715" s="11" t="str">
        <f t="shared" si="35"/>
        <v>10・資材倉庫・ノベルティO-1</v>
      </c>
    </row>
    <row r="716" spans="1:7" ht="15" customHeight="1" x14ac:dyDescent="0.2">
      <c r="A716" s="14" t="s">
        <v>737</v>
      </c>
      <c r="B716" s="10" t="str">
        <f>IFERROR(
    INDEX([1]FSHIP!B:B,MATCH(A716,[1]FSHIP!A:A,0)),
    IFERROR(
        INDEX([1]釣具商品ship!B:B,MATCH(A716,[1]釣具商品ship!A:A,0)),
        IFERROR(
            INDEX([1]玩具商品ship!B:B,MATCH(A716,[1]玩具商品ship!A:A,0)),
            IFERROR(
                INDEX([1]OEMship!B:B,MATCH(A716,[1]OEMship!A:A,0)),
                IFERROR(
                    INDEX([1]NV6ship!B:B,MATCH(A716,[1]NV6ship!A:A,0)),
                    IFERROR(
                        INDEX([1]NVship!B:B,MATCH(A716,[1]NVship!A:A,0)),
                        IFERROR(
                            INDEX([1]海ship!B:B,MATCH(A716,[1]海ship!A:A,0)),
                            IFERROR(
                                INDEX([1]ｾﾚship!B:B,MATCH(A716,[1]ｾﾚship!A:A,0)),
                                IFERROR(
                                    INDEX([1]ｾﾚﾓﾆｰ商品ship!B:B,MATCH(A716,[1]ｾﾚﾓﾆｰ商品ship!A:A,0)),
                                    INDEX([2]NV!D:D,MATCH(A716,[2]NV!C:C,0))
                                )
                            )
                        )
                    )
                )
            )
        )
    )
)</f>
        <v>ペンライト用ストラップ　山吹</v>
      </c>
      <c r="C716" s="16" t="s">
        <v>729</v>
      </c>
      <c r="D716" s="4" t="str">
        <f t="shared" si="33"/>
        <v>ペンライト用ストラップ　山吹 ｜ 1Fノベルティ【03】 ｜ C-1</v>
      </c>
      <c r="E716" s="11" t="str">
        <f t="shared" si="34"/>
        <v>1Fノベルティ</v>
      </c>
      <c r="F716" s="12" t="s">
        <v>744</v>
      </c>
      <c r="G716" s="11" t="str">
        <f t="shared" si="35"/>
        <v>03・1FノベルティC-1</v>
      </c>
    </row>
    <row r="717" spans="1:7" ht="15" customHeight="1" x14ac:dyDescent="0.2">
      <c r="A717" s="14" t="s">
        <v>736</v>
      </c>
      <c r="B717" s="10" t="str">
        <f>IFERROR(
    INDEX([1]FSHIP!B:B,MATCH(A717,[1]FSHIP!A:A,0)),
    IFERROR(
        INDEX([1]釣具商品ship!B:B,MATCH(A717,[1]釣具商品ship!A:A,0)),
        IFERROR(
            INDEX([1]玩具商品ship!B:B,MATCH(A717,[1]玩具商品ship!A:A,0)),
            IFERROR(
                INDEX([1]OEMship!B:B,MATCH(A717,[1]OEMship!A:A,0)),
                IFERROR(
                    INDEX([1]NV6ship!B:B,MATCH(A717,[1]NV6ship!A:A,0)),
                    IFERROR(
                        INDEX([1]NVship!B:B,MATCH(A717,[1]NVship!A:A,0)),
                        IFERROR(
                            INDEX([1]海ship!B:B,MATCH(A717,[1]海ship!A:A,0)),
                            IFERROR(
                                INDEX([1]ｾﾚship!B:B,MATCH(A717,[1]ｾﾚship!A:A,0)),
                                IFERROR(
                                    INDEX([1]ｾﾚﾓﾆｰ商品ship!B:B,MATCH(A717,[1]ｾﾚﾓﾆｰ商品ship!A:A,0)),
                                    INDEX([2]NV!D:D,MATCH(A717,[2]NV!C:C,0))
                                )
                            )
                        )
                    )
                )
            )
        )
    )
)</f>
        <v>ペンライトストラップ　オレンジ</v>
      </c>
      <c r="C717" s="16" t="s">
        <v>729</v>
      </c>
      <c r="D717" s="4" t="str">
        <f t="shared" si="33"/>
        <v>ペンライトストラップ　オレンジ ｜ 1Fノベルティ【03】 ｜ C-1</v>
      </c>
      <c r="E717" s="11" t="str">
        <f t="shared" si="34"/>
        <v>1Fノベルティ</v>
      </c>
      <c r="F717" s="12" t="s">
        <v>744</v>
      </c>
      <c r="G717" s="11" t="str">
        <f t="shared" si="35"/>
        <v>03・1FノベルティC-1</v>
      </c>
    </row>
    <row r="718" spans="1:7" ht="15" customHeight="1" x14ac:dyDescent="0.2">
      <c r="A718" s="14" t="s">
        <v>715</v>
      </c>
      <c r="B718" s="10" t="str">
        <f>IFERROR(
    INDEX([1]FSHIP!B:B,MATCH(A718,[1]FSHIP!A:A,0)),
    IFERROR(
        INDEX([1]釣具商品ship!B:B,MATCH(A718,[1]釣具商品ship!A:A,0)),
        IFERROR(
            INDEX([1]玩具商品ship!B:B,MATCH(A718,[1]玩具商品ship!A:A,0)),
            IFERROR(
                INDEX([1]OEMship!B:B,MATCH(A718,[1]OEMship!A:A,0)),
                IFERROR(
                    INDEX([1]NV6ship!B:B,MATCH(A718,[1]NV6ship!A:A,0)),
                    IFERROR(
                        INDEX([1]NVship!B:B,MATCH(A718,[1]NVship!A:A,0)),
                        IFERROR(
                            INDEX([1]海ship!B:B,MATCH(A718,[1]海ship!A:A,0)),
                            IFERROR(
                                INDEX([1]ｾﾚship!B:B,MATCH(A718,[1]ｾﾚship!A:A,0)),
                                IFERROR(
                                    INDEX([1]ｾﾚﾓﾆｰ商品ship!B:B,MATCH(A718,[1]ｾﾚﾓﾆｰ商品ship!A:A,0)),
                                    INDEX([2]NV!D:D,MATCH(A718,[2]NV!C:C,0))
                                )
                            )
                        )
                    )
                )
            )
        )
    )
)</f>
        <v>大閃光ブレード100 SP チューブ</v>
      </c>
      <c r="C718" s="16" t="s">
        <v>472</v>
      </c>
      <c r="D718" s="4" t="str">
        <f t="shared" si="33"/>
        <v>大閃光ブレード100 SP チューブ ｜ テント倉庫【01】 ｜ A-1</v>
      </c>
      <c r="E718" s="11" t="str">
        <f t="shared" si="34"/>
        <v>テント倉庫</v>
      </c>
      <c r="F718" s="12" t="s">
        <v>721</v>
      </c>
      <c r="G718" s="11" t="str">
        <f t="shared" si="35"/>
        <v>01・テント倉庫A-1</v>
      </c>
    </row>
    <row r="719" spans="1:7" ht="15" customHeight="1" x14ac:dyDescent="0.2">
      <c r="A719" s="10" t="s">
        <v>544</v>
      </c>
      <c r="B719" s="10" t="str">
        <f>IFERROR(
    INDEX([1]FSHIP!B:B,MATCH(A719,[1]FSHIP!A:A,0)),
    IFERROR(
        INDEX([1]釣具商品ship!B:B,MATCH(A719,[1]釣具商品ship!A:A,0)),
        IFERROR(
            INDEX([1]玩具商品ship!B:B,MATCH(A719,[1]玩具商品ship!A:A,0)),
            IFERROR(
                INDEX([1]OEMship!B:B,MATCH(A719,[1]OEMship!A:A,0)),
                IFERROR(
                    INDEX([1]NV6ship!B:B,MATCH(A719,[1]NV6ship!A:A,0)),
                    IFERROR(
                        INDEX([1]NVship!B:B,MATCH(A719,[1]NVship!A:A,0)),
                        IFERROR(
                            INDEX([1]海ship!B:B,MATCH(A719,[1]海ship!A:A,0)),
                            IFERROR(
                                INDEX([1]ｾﾚship!B:B,MATCH(A719,[1]ｾﾚship!A:A,0)),
                                IFERROR(
                                    INDEX([1]ｾﾚﾓﾆｰ商品ship!B:B,MATCH(A719,[1]ｾﾚﾓﾆｰ商品ship!A:A,0)),
                                    INDEX([2]NV!D:D,MATCH(A719,[2]NV!C:C,0))
                                )
                            )
                        )
                    )
                )
            )
        )
    )
)</f>
        <v>大閃光ブレード100 SP キラキラシート</v>
      </c>
      <c r="C719" s="4" t="s">
        <v>536</v>
      </c>
      <c r="D719" s="4" t="str">
        <f t="shared" si="33"/>
        <v>大閃光ブレード100 SP キラキラシート ｜ 資材倉庫・ノベルティ【10】 ｜ R-1</v>
      </c>
      <c r="E719" s="11" t="str">
        <f t="shared" si="34"/>
        <v>資材倉庫・ノベルティ</v>
      </c>
      <c r="F719" s="12" t="s">
        <v>477</v>
      </c>
      <c r="G719" s="11" t="str">
        <f t="shared" si="35"/>
        <v>10・資材倉庫・ノベルティR-1</v>
      </c>
    </row>
    <row r="720" spans="1:7" ht="15" customHeight="1" x14ac:dyDescent="0.2">
      <c r="A720" s="10" t="s">
        <v>467</v>
      </c>
      <c r="B720" s="10" t="str">
        <f>IFERROR(
    INDEX([1]FSHIP!B:B,MATCH(A720,[1]FSHIP!A:A,0)),
    IFERROR(
        INDEX([1]釣具商品ship!B:B,MATCH(A720,[1]釣具商品ship!A:A,0)),
        IFERROR(
            INDEX([1]玩具商品ship!B:B,MATCH(A720,[1]玩具商品ship!A:A,0)),
            IFERROR(
                INDEX([1]OEMship!B:B,MATCH(A720,[1]OEMship!A:A,0)),
                IFERROR(
                    INDEX([1]NV6ship!B:B,MATCH(A720,[1]NV6ship!A:A,0)),
                    IFERROR(
                        INDEX([1]NVship!B:B,MATCH(A720,[1]NVship!A:A,0)),
                        IFERROR(
                            INDEX([1]海ship!B:B,MATCH(A720,[1]海ship!A:A,0)),
                            IFERROR(
                                INDEX([1]ｾﾚship!B:B,MATCH(A720,[1]ｾﾚship!A:A,0)),
                                IFERROR(
                                    INDEX([1]ｾﾚﾓﾆｰ商品ship!B:B,MATCH(A720,[1]ｾﾚﾓﾆｰ商品ship!A:A,0)),
                                    INDEX([2]NV!D:D,MATCH(A720,[2]NV!C:C,0))
                                )
                            )
                        )
                    )
                )
            )
        )
    )
)</f>
        <v>大閃光ブレード100</v>
      </c>
      <c r="C720" s="4" t="s">
        <v>457</v>
      </c>
      <c r="D720" s="10" t="str">
        <f t="shared" si="33"/>
        <v>大閃光ブレード100 ｜ 1Fノベルティ【03】 ｜ D-1</v>
      </c>
      <c r="E720" s="11" t="str">
        <f t="shared" si="34"/>
        <v>1Fノベルティ</v>
      </c>
      <c r="F720" s="12" t="s">
        <v>367</v>
      </c>
      <c r="G720" s="11" t="str">
        <f t="shared" si="35"/>
        <v>03・1FノベルティD-1</v>
      </c>
    </row>
    <row r="721" spans="1:7" ht="15" customHeight="1" x14ac:dyDescent="0.2">
      <c r="A721" s="10" t="s">
        <v>468</v>
      </c>
      <c r="B721" s="10" t="str">
        <f>IFERROR(
    INDEX([1]FSHIP!B:B,MATCH(A721,[1]FSHIP!A:A,0)),
    IFERROR(
        INDEX([1]釣具商品ship!B:B,MATCH(A721,[1]釣具商品ship!A:A,0)),
        IFERROR(
            INDEX([1]玩具商品ship!B:B,MATCH(A721,[1]玩具商品ship!A:A,0)),
            IFERROR(
                INDEX([1]OEMship!B:B,MATCH(A721,[1]OEMship!A:A,0)),
                IFERROR(
                    INDEX([1]NV6ship!B:B,MATCH(A721,[1]NV6ship!A:A,0)),
                    IFERROR(
                        INDEX([1]NVship!B:B,MATCH(A721,[1]NVship!A:A,0)),
                        IFERROR(
                            INDEX([1]海ship!B:B,MATCH(A721,[1]海ship!A:A,0)),
                            IFERROR(
                                INDEX([1]ｾﾚship!B:B,MATCH(A721,[1]ｾﾚship!A:A,0)),
                                IFERROR(
                                    INDEX([1]ｾﾚﾓﾆｰ商品ship!B:B,MATCH(A721,[1]ｾﾚﾓﾆｰ商品ship!A:A,0)),
                                    INDEX([2]NV!D:D,MATCH(A721,[2]NV!C:C,0))
                                )
                            )
                        )
                    )
                )
            )
        )
    )
)</f>
        <v>大閃光ブレード300</v>
      </c>
      <c r="C721" s="4" t="s">
        <v>457</v>
      </c>
      <c r="D721" s="10" t="str">
        <f t="shared" si="33"/>
        <v>大閃光ブレード300 ｜ 1Fノベルティ【03】 ｜ D-1</v>
      </c>
      <c r="E721" s="11" t="str">
        <f t="shared" si="34"/>
        <v>1Fノベルティ</v>
      </c>
      <c r="F721" s="12" t="s">
        <v>367</v>
      </c>
      <c r="G721" s="11" t="str">
        <f t="shared" si="35"/>
        <v>03・1FノベルティD-1</v>
      </c>
    </row>
    <row r="722" spans="1:7" ht="15" customHeight="1" x14ac:dyDescent="0.2">
      <c r="A722" s="14" t="s">
        <v>774</v>
      </c>
      <c r="B722" s="10" t="str">
        <f>IFERROR(
    INDEX([1]FSHIP!B:B,MATCH(A722,[1]FSHIP!A:A,0)),
    IFERROR(
        INDEX([1]釣具商品ship!B:B,MATCH(A722,[1]釣具商品ship!A:A,0)),
        IFERROR(
            INDEX([1]玩具商品ship!B:B,MATCH(A722,[1]玩具商品ship!A:A,0)),
            IFERROR(
                INDEX([1]OEMship!B:B,MATCH(A722,[1]OEMship!A:A,0)),
                IFERROR(
                    INDEX([1]NV6ship!B:B,MATCH(A722,[1]NV6ship!A:A,0)),
                    IFERROR(
                        INDEX([1]NVship!B:B,MATCH(A722,[1]NVship!A:A,0)),
                        IFERROR(
                            INDEX([1]海ship!B:B,MATCH(A722,[1]海ship!A:A,0)),
                            IFERROR(
                                INDEX([1]ｾﾚship!B:B,MATCH(A722,[1]ｾﾚship!A:A,0)),
                                IFERROR(
                                    INDEX([1]ｾﾚﾓﾆｰ商品ship!B:B,MATCH(A722,[1]ｾﾚﾓﾆｰ商品ship!A:A,0)),
                                    INDEX([2]NV!D:D,MATCH(A722,[2]NV!C:C,0))
                                )
                            )
                        )
                    )
                )
            )
        )
    )
)</f>
        <v>ロープホルダー</v>
      </c>
      <c r="C722" s="16" t="s">
        <v>799</v>
      </c>
      <c r="D722" s="4" t="str">
        <f t="shared" si="33"/>
        <v>ロープホルダー ｜ 資材倉庫・2F【X99】 ｜ 2F</v>
      </c>
      <c r="E722" s="11" t="str">
        <f t="shared" si="34"/>
        <v>資材倉庫・2F</v>
      </c>
      <c r="F722" s="12" t="s">
        <v>748</v>
      </c>
      <c r="G722" s="11" t="str">
        <f t="shared" si="35"/>
        <v>X99・資材倉庫・2F2F</v>
      </c>
    </row>
    <row r="723" spans="1:7" ht="15" customHeight="1" x14ac:dyDescent="0.2">
      <c r="A723" s="14" t="s">
        <v>775</v>
      </c>
      <c r="B723" s="10" t="str">
        <f>IFERROR(
    INDEX([1]FSHIP!B:B,MATCH(A723,[1]FSHIP!A:A,0)),
    IFERROR(
        INDEX([1]釣具商品ship!B:B,MATCH(A723,[1]釣具商品ship!A:A,0)),
        IFERROR(
            INDEX([1]玩具商品ship!B:B,MATCH(A723,[1]玩具商品ship!A:A,0)),
            IFERROR(
                INDEX([1]OEMship!B:B,MATCH(A723,[1]OEMship!A:A,0)),
                IFERROR(
                    INDEX([1]NV6ship!B:B,MATCH(A723,[1]NV6ship!A:A,0)),
                    IFERROR(
                        INDEX([1]NVship!B:B,MATCH(A723,[1]NVship!A:A,0)),
                        IFERROR(
                            INDEX([1]海ship!B:B,MATCH(A723,[1]海ship!A:A,0)),
                            IFERROR(
                                INDEX([1]ｾﾚship!B:B,MATCH(A723,[1]ｾﾚship!A:A,0)),
                                IFERROR(
                                    INDEX([1]ｾﾚﾓﾆｰ商品ship!B:B,MATCH(A723,[1]ｾﾚﾓﾆｰ商品ship!A:A,0)),
                                    INDEX([2]NV!D:D,MATCH(A723,[2]NV!C:C,0))
                                )
                            )
                        )
                    )
                )
            )
        )
    )
)</f>
        <v>LUMIACE SP ﾊﾝﾄﾞﾙ 白</v>
      </c>
      <c r="C723" s="16" t="s">
        <v>799</v>
      </c>
      <c r="D723" s="4" t="str">
        <f t="shared" si="33"/>
        <v>LUMIACE SP ﾊﾝﾄﾞﾙ 白 ｜ 資材倉庫・2F【X99】 ｜ 2F</v>
      </c>
      <c r="E723" s="11" t="str">
        <f t="shared" si="34"/>
        <v>資材倉庫・2F</v>
      </c>
      <c r="F723" s="12" t="s">
        <v>748</v>
      </c>
      <c r="G723" s="11" t="str">
        <f t="shared" si="35"/>
        <v>X99・資材倉庫・2F2F</v>
      </c>
    </row>
    <row r="724" spans="1:7" ht="15" customHeight="1" x14ac:dyDescent="0.2">
      <c r="A724" s="14" t="s">
        <v>776</v>
      </c>
      <c r="B724" s="10" t="str">
        <f>IFERROR(
    INDEX([1]FSHIP!B:B,MATCH(A724,[1]FSHIP!A:A,0)),
    IFERROR(
        INDEX([1]釣具商品ship!B:B,MATCH(A724,[1]釣具商品ship!A:A,0)),
        IFERROR(
            INDEX([1]玩具商品ship!B:B,MATCH(A724,[1]玩具商品ship!A:A,0)),
            IFERROR(
                INDEX([1]OEMship!B:B,MATCH(A724,[1]OEMship!A:A,0)),
                IFERROR(
                    INDEX([1]NV6ship!B:B,MATCH(A724,[1]NV6ship!A:A,0)),
                    IFERROR(
                        INDEX([1]NVship!B:B,MATCH(A724,[1]NVship!A:A,0)),
                        IFERROR(
                            INDEX([1]海ship!B:B,MATCH(A724,[1]海ship!A:A,0)),
                            IFERROR(
                                INDEX([1]ｾﾚship!B:B,MATCH(A724,[1]ｾﾚship!A:A,0)),
                                IFERROR(
                                    INDEX([1]ｾﾚﾓﾆｰ商品ship!B:B,MATCH(A724,[1]ｾﾚﾓﾆｰ商品ship!A:A,0)),
                                    INDEX([2]NV!D:D,MATCH(A724,[2]NV!C:C,0))
                                )
                            )
                        )
                    )
                )
            )
        )
    )
)</f>
        <v>LUMIACE SP ﾊﾟｲﾌﾟ</v>
      </c>
      <c r="C724" s="16" t="s">
        <v>799</v>
      </c>
      <c r="D724" s="4" t="str">
        <f t="shared" si="33"/>
        <v>LUMIACE SP ﾊﾟｲﾌﾟ ｜ 資材倉庫・2F【X99】 ｜ 2F</v>
      </c>
      <c r="E724" s="11" t="str">
        <f t="shared" si="34"/>
        <v>資材倉庫・2F</v>
      </c>
      <c r="F724" s="12" t="s">
        <v>748</v>
      </c>
      <c r="G724" s="11" t="str">
        <f t="shared" si="35"/>
        <v>X99・資材倉庫・2F2F</v>
      </c>
    </row>
    <row r="725" spans="1:7" ht="15" customHeight="1" x14ac:dyDescent="0.2">
      <c r="A725" s="14" t="s">
        <v>777</v>
      </c>
      <c r="B725" s="10" t="str">
        <f>IFERROR(
    INDEX([1]FSHIP!B:B,MATCH(A725,[1]FSHIP!A:A,0)),
    IFERROR(
        INDEX([1]釣具商品ship!B:B,MATCH(A725,[1]釣具商品ship!A:A,0)),
        IFERROR(
            INDEX([1]玩具商品ship!B:B,MATCH(A725,[1]玩具商品ship!A:A,0)),
            IFERROR(
                INDEX([1]OEMship!B:B,MATCH(A725,[1]OEMship!A:A,0)),
                IFERROR(
                    INDEX([1]NV6ship!B:B,MATCH(A725,[1]NV6ship!A:A,0)),
                    IFERROR(
                        INDEX([1]NVship!B:B,MATCH(A725,[1]NVship!A:A,0)),
                        IFERROR(
                            INDEX([1]海ship!B:B,MATCH(A725,[1]海ship!A:A,0)),
                            IFERROR(
                                INDEX([1]ｾﾚship!B:B,MATCH(A725,[1]ｾﾚship!A:A,0)),
                                IFERROR(
                                    INDEX([1]ｾﾚﾓﾆｰ商品ship!B:B,MATCH(A725,[1]ｾﾚﾓﾆｰ商品ship!A:A,0)),
                                    INDEX([2]NV!D:D,MATCH(A725,[2]NV!C:C,0))
                                )
                            )
                        )
                    )
                )
            )
        )
    )
)</f>
        <v>LUMIACE SP ｸﾞﾘｯﾀｰﾌｨﾙﾑ 白</v>
      </c>
      <c r="C725" s="16" t="s">
        <v>799</v>
      </c>
      <c r="D725" s="4" t="str">
        <f t="shared" si="33"/>
        <v>LUMIACE SP ｸﾞﾘｯﾀｰﾌｨﾙﾑ 白 ｜ 資材倉庫・2F【X99】 ｜ 2F</v>
      </c>
      <c r="E725" s="11" t="str">
        <f t="shared" si="34"/>
        <v>資材倉庫・2F</v>
      </c>
      <c r="F725" s="12" t="s">
        <v>748</v>
      </c>
      <c r="G725" s="11" t="str">
        <f t="shared" si="35"/>
        <v>X99・資材倉庫・2F2F</v>
      </c>
    </row>
    <row r="726" spans="1:7" ht="15" customHeight="1" x14ac:dyDescent="0.2">
      <c r="A726" s="14" t="s">
        <v>778</v>
      </c>
      <c r="B726" s="10" t="str">
        <f>IFERROR(
    INDEX([1]FSHIP!B:B,MATCH(A726,[1]FSHIP!A:A,0)),
    IFERROR(
        INDEX([1]釣具商品ship!B:B,MATCH(A726,[1]釣具商品ship!A:A,0)),
        IFERROR(
            INDEX([1]玩具商品ship!B:B,MATCH(A726,[1]玩具商品ship!A:A,0)),
            IFERROR(
                INDEX([1]OEMship!B:B,MATCH(A726,[1]OEMship!A:A,0)),
                IFERROR(
                    INDEX([1]NV6ship!B:B,MATCH(A726,[1]NV6ship!A:A,0)),
                    IFERROR(
                        INDEX([1]NVship!B:B,MATCH(A726,[1]NVship!A:A,0)),
                        IFERROR(
                            INDEX([1]海ship!B:B,MATCH(A726,[1]海ship!A:A,0)),
                            IFERROR(
                                INDEX([1]ｾﾚship!B:B,MATCH(A726,[1]ｾﾚship!A:A,0)),
                                IFERROR(
                                    INDEX([1]ｾﾚﾓﾆｰ商品ship!B:B,MATCH(A726,[1]ｾﾚﾓﾆｰ商品ship!A:A,0)),
                                    INDEX([2]NV!D:D,MATCH(A726,[2]NV!C:C,0))
                                )
                            )
                        )
                    )
                )
            )
        )
    )
)</f>
        <v>LUMIACE SP ｸﾞﾘｯﾀｰﾌｨﾙﾑ 青</v>
      </c>
      <c r="C726" s="16" t="s">
        <v>799</v>
      </c>
      <c r="D726" s="4" t="str">
        <f t="shared" si="33"/>
        <v>LUMIACE SP ｸﾞﾘｯﾀｰﾌｨﾙﾑ 青 ｜ 資材倉庫・2F【X99】 ｜ 2F</v>
      </c>
      <c r="E726" s="11" t="str">
        <f t="shared" si="34"/>
        <v>資材倉庫・2F</v>
      </c>
      <c r="F726" s="12" t="s">
        <v>748</v>
      </c>
      <c r="G726" s="11" t="str">
        <f t="shared" si="35"/>
        <v>X99・資材倉庫・2F2F</v>
      </c>
    </row>
    <row r="727" spans="1:7" ht="15" customHeight="1" x14ac:dyDescent="0.2">
      <c r="A727" s="14" t="s">
        <v>779</v>
      </c>
      <c r="B727" s="10" t="str">
        <f>IFERROR(
    INDEX([1]FSHIP!B:B,MATCH(A727,[1]FSHIP!A:A,0)),
    IFERROR(
        INDEX([1]釣具商品ship!B:B,MATCH(A727,[1]釣具商品ship!A:A,0)),
        IFERROR(
            INDEX([1]玩具商品ship!B:B,MATCH(A727,[1]玩具商品ship!A:A,0)),
            IFERROR(
                INDEX([1]OEMship!B:B,MATCH(A727,[1]OEMship!A:A,0)),
                IFERROR(
                    INDEX([1]NV6ship!B:B,MATCH(A727,[1]NV6ship!A:A,0)),
                    IFERROR(
                        INDEX([1]NVship!B:B,MATCH(A727,[1]NVship!A:A,0)),
                        IFERROR(
                            INDEX([1]海ship!B:B,MATCH(A727,[1]海ship!A:A,0)),
                            IFERROR(
                                INDEX([1]ｾﾚship!B:B,MATCH(A727,[1]ｾﾚship!A:A,0)),
                                IFERROR(
                                    INDEX([1]ｾﾚﾓﾆｰ商品ship!B:B,MATCH(A727,[1]ｾﾚﾓﾆｰ商品ship!A:A,0)),
                                    INDEX([2]NV!D:D,MATCH(A727,[2]NV!C:C,0))
                                )
                            )
                        )
                    )
                )
            )
        )
    )
)</f>
        <v>LUMIACE SP ｸﾞﾘｯﾀｰﾌｨﾙﾑ 緑</v>
      </c>
      <c r="C727" s="16" t="s">
        <v>799</v>
      </c>
      <c r="D727" s="4" t="str">
        <f t="shared" si="33"/>
        <v>LUMIACE SP ｸﾞﾘｯﾀｰﾌｨﾙﾑ 緑 ｜ 資材倉庫・2F【X99】 ｜ 2F</v>
      </c>
      <c r="E727" s="11" t="str">
        <f t="shared" si="34"/>
        <v>資材倉庫・2F</v>
      </c>
      <c r="F727" s="12" t="s">
        <v>748</v>
      </c>
      <c r="G727" s="11" t="str">
        <f t="shared" si="35"/>
        <v>X99・資材倉庫・2F2F</v>
      </c>
    </row>
    <row r="728" spans="1:7" ht="15" customHeight="1" x14ac:dyDescent="0.2">
      <c r="A728" s="14" t="s">
        <v>780</v>
      </c>
      <c r="B728" s="10" t="str">
        <f>IFERROR(
    INDEX([1]FSHIP!B:B,MATCH(A728,[1]FSHIP!A:A,0)),
    IFERROR(
        INDEX([1]釣具商品ship!B:B,MATCH(A728,[1]釣具商品ship!A:A,0)),
        IFERROR(
            INDEX([1]玩具商品ship!B:B,MATCH(A728,[1]玩具商品ship!A:A,0)),
            IFERROR(
                INDEX([1]OEMship!B:B,MATCH(A728,[1]OEMship!A:A,0)),
                IFERROR(
                    INDEX([1]NV6ship!B:B,MATCH(A728,[1]NV6ship!A:A,0)),
                    IFERROR(
                        INDEX([1]NVship!B:B,MATCH(A728,[1]NVship!A:A,0)),
                        IFERROR(
                            INDEX([1]海ship!B:B,MATCH(A728,[1]海ship!A:A,0)),
                            IFERROR(
                                INDEX([1]ｾﾚship!B:B,MATCH(A728,[1]ｾﾚship!A:A,0)),
                                IFERROR(
                                    INDEX([1]ｾﾚﾓﾆｰ商品ship!B:B,MATCH(A728,[1]ｾﾚﾓﾆｰ商品ship!A:A,0)),
                                    INDEX([2]NV!D:D,MATCH(A728,[2]NV!C:C,0))
                                )
                            )
                        )
                    )
                )
            )
        )
    )
)</f>
        <v>ﾙﾐｴｰｽ2.5α SP ｸﾞﾘｯﾌﾟ白 (RGBW LED)</v>
      </c>
      <c r="C728" s="16" t="s">
        <v>799</v>
      </c>
      <c r="D728" s="4" t="str">
        <f t="shared" si="33"/>
        <v>ﾙﾐｴｰｽ2.5α SP ｸﾞﾘｯﾌﾟ白 (RGBW LED) ｜ 資材倉庫・2F【X99】 ｜ 2F</v>
      </c>
      <c r="E728" s="11" t="str">
        <f t="shared" si="34"/>
        <v>資材倉庫・2F</v>
      </c>
      <c r="F728" s="12" t="s">
        <v>748</v>
      </c>
      <c r="G728" s="11" t="str">
        <f t="shared" si="35"/>
        <v>X99・資材倉庫・2F2F</v>
      </c>
    </row>
    <row r="729" spans="1:7" ht="15" customHeight="1" x14ac:dyDescent="0.2">
      <c r="A729" s="14" t="s">
        <v>781</v>
      </c>
      <c r="B729" s="10" t="str">
        <f>IFERROR(
    INDEX([1]FSHIP!B:B,MATCH(A729,[1]FSHIP!A:A,0)),
    IFERROR(
        INDEX([1]釣具商品ship!B:B,MATCH(A729,[1]釣具商品ship!A:A,0)),
        IFERROR(
            INDEX([1]玩具商品ship!B:B,MATCH(A729,[1]玩具商品ship!A:A,0)),
            IFERROR(
                INDEX([1]OEMship!B:B,MATCH(A729,[1]OEMship!A:A,0)),
                IFERROR(
                    INDEX([1]NV6ship!B:B,MATCH(A729,[1]NV6ship!A:A,0)),
                    IFERROR(
                        INDEX([1]NVship!B:B,MATCH(A729,[1]NVship!A:A,0)),
                        IFERROR(
                            INDEX([1]海ship!B:B,MATCH(A729,[1]海ship!A:A,0)),
                            IFERROR(
                                INDEX([1]ｾﾚship!B:B,MATCH(A729,[1]ｾﾚship!A:A,0)),
                                IFERROR(
                                    INDEX([1]ｾﾚﾓﾆｰ商品ship!B:B,MATCH(A729,[1]ｾﾚﾓﾆｰ商品ship!A:A,0)),
                                    INDEX([2]NV!D:D,MATCH(A729,[2]NV!C:C,0))
                                )
                            )
                        )
                    )
                )
            )
        )
    )
)</f>
        <v>ﾙﾐｴｰｽ2.5α SP ｸﾞﾘｯﾌﾟ黒 (RGBW LED)</v>
      </c>
      <c r="C729" s="16" t="s">
        <v>799</v>
      </c>
      <c r="D729" s="4" t="str">
        <f t="shared" si="33"/>
        <v>ﾙﾐｴｰｽ2.5α SP ｸﾞﾘｯﾌﾟ黒 (RGBW LED) ｜ 資材倉庫・2F【X99】 ｜ 2F</v>
      </c>
      <c r="E729" s="11" t="str">
        <f t="shared" si="34"/>
        <v>資材倉庫・2F</v>
      </c>
      <c r="F729" s="12" t="s">
        <v>748</v>
      </c>
      <c r="G729" s="11" t="str">
        <f t="shared" si="35"/>
        <v>X99・資材倉庫・2F2F</v>
      </c>
    </row>
    <row r="730" spans="1:7" ht="15" customHeight="1" x14ac:dyDescent="0.2">
      <c r="A730" s="10" t="s">
        <v>545</v>
      </c>
      <c r="B730" s="10" t="str">
        <f>IFERROR(
    INDEX([1]FSHIP!B:B,MATCH(A730,[1]FSHIP!A:A,0)),
    IFERROR(
        INDEX([1]釣具商品ship!B:B,MATCH(A730,[1]釣具商品ship!A:A,0)),
        IFERROR(
            INDEX([1]玩具商品ship!B:B,MATCH(A730,[1]玩具商品ship!A:A,0)),
            IFERROR(
                INDEX([1]OEMship!B:B,MATCH(A730,[1]OEMship!A:A,0)),
                IFERROR(
                    INDEX([1]NV6ship!B:B,MATCH(A730,[1]NV6ship!A:A,0)),
                    IFERROR(
                        INDEX([1]NVship!B:B,MATCH(A730,[1]NVship!A:A,0)),
                        IFERROR(
                            INDEX([1]海ship!B:B,MATCH(A730,[1]海ship!A:A,0)),
                            IFERROR(
                                INDEX([1]ｾﾚship!B:B,MATCH(A730,[1]ｾﾚship!A:A,0)),
                                IFERROR(
                                    INDEX([1]ｾﾚﾓﾆｰ商品ship!B:B,MATCH(A730,[1]ｾﾚﾓﾆｰ商品ship!A:A,0)),
                                    INDEX([2]NV!D:D,MATCH(A730,[2]NV!C:C,0))
                                )
                            )
                        )
                    )
                )
            )
        )
    )
)</f>
        <v>ﾍﾟﾝﾗｲﾄ用ｽﾍﾟｱﾁｭｰﾌﾞ ｷﾗｷﾗﾀｲﾌﾟ</v>
      </c>
      <c r="C730" s="4" t="s">
        <v>536</v>
      </c>
      <c r="D730" s="4" t="str">
        <f t="shared" si="33"/>
        <v>ﾍﾟﾝﾗｲﾄ用ｽﾍﾟｱﾁｭｰﾌﾞ ｷﾗｷﾗﾀｲﾌﾟ ｜ 資材倉庫・ノベルティ【10】 ｜ R-1</v>
      </c>
      <c r="E730" s="11" t="str">
        <f t="shared" si="34"/>
        <v>資材倉庫・ノベルティ</v>
      </c>
      <c r="F730" s="12" t="s">
        <v>477</v>
      </c>
      <c r="G730" s="11" t="str">
        <f t="shared" si="35"/>
        <v>10・資材倉庫・ノベルティR-1</v>
      </c>
    </row>
    <row r="731" spans="1:7" ht="15" customHeight="1" x14ac:dyDescent="0.2">
      <c r="A731" s="10" t="s">
        <v>574</v>
      </c>
      <c r="B731" s="10" t="str">
        <f>IFERROR(
    INDEX([1]FSHIP!B:B,MATCH(A731,[1]FSHIP!A:A,0)),
    IFERROR(
        INDEX([1]釣具商品ship!B:B,MATCH(A731,[1]釣具商品ship!A:A,0)),
        IFERROR(
            INDEX([1]玩具商品ship!B:B,MATCH(A731,[1]玩具商品ship!A:A,0)),
            IFERROR(
                INDEX([1]OEMship!B:B,MATCH(A731,[1]OEMship!A:A,0)),
                IFERROR(
                    INDEX([1]NV6ship!B:B,MATCH(A731,[1]NV6ship!A:A,0)),
                    IFERROR(
                        INDEX([1]NVship!B:B,MATCH(A731,[1]NVship!A:A,0)),
                        IFERROR(
                            INDEX([1]海ship!B:B,MATCH(A731,[1]海ship!A:A,0)),
                            IFERROR(
                                INDEX([1]ｾﾚship!B:B,MATCH(A731,[1]ｾﾚship!A:A,0)),
                                IFERROR(
                                    INDEX([1]ｾﾚﾓﾆｰ商品ship!B:B,MATCH(A731,[1]ｾﾚﾓﾆｰ商品ship!A:A,0)),
                                    INDEX([2]NV!D:D,MATCH(A731,[2]NV!C:C,0))
                                )
                            )
                        )
                    )
                )
            )
        )
    )
)</f>
        <v>Bi Rod 7500専用三脚（伸縮式）</v>
      </c>
      <c r="C731" s="4" t="s">
        <v>573</v>
      </c>
      <c r="D731" s="4" t="str">
        <f t="shared" si="33"/>
        <v>Bi Rod 7500専用三脚（伸縮式） ｜ 資材倉庫・Irod【11】 ｜ F-1</v>
      </c>
      <c r="E731" s="11" t="str">
        <f t="shared" si="34"/>
        <v>資材倉庫・Irod</v>
      </c>
      <c r="F731" s="12" t="s">
        <v>572</v>
      </c>
      <c r="G731" s="11" t="str">
        <f t="shared" si="35"/>
        <v>11・資材倉庫・IrodF-1</v>
      </c>
    </row>
    <row r="732" spans="1:7" ht="15" customHeight="1" x14ac:dyDescent="0.2">
      <c r="A732" s="10" t="s">
        <v>624</v>
      </c>
      <c r="B732" s="10" t="str">
        <f>IFERROR(
    INDEX([1]FSHIP!B:B,MATCH(A732,[1]FSHIP!A:A,0)),
    IFERROR(
        INDEX([1]釣具商品ship!B:B,MATCH(A732,[1]釣具商品ship!A:A,0)),
        IFERROR(
            INDEX([1]玩具商品ship!B:B,MATCH(A732,[1]玩具商品ship!A:A,0)),
            IFERROR(
                INDEX([1]OEMship!B:B,MATCH(A732,[1]OEMship!A:A,0)),
                IFERROR(
                    INDEX([1]NV6ship!B:B,MATCH(A732,[1]NV6ship!A:A,0)),
                    IFERROR(
                        INDEX([1]NVship!B:B,MATCH(A732,[1]NVship!A:A,0)),
                        IFERROR(
                            INDEX([1]海ship!B:B,MATCH(A732,[1]海ship!A:A,0)),
                            IFERROR(
                                INDEX([1]ｾﾚship!B:B,MATCH(A732,[1]ｾﾚship!A:A,0)),
                                IFERROR(
                                    INDEX([1]ｾﾚﾓﾆｰ商品ship!B:B,MATCH(A732,[1]ｾﾚﾓﾆｰ商品ship!A:A,0)),
                                    INDEX([2]NV!D:D,MATCH(A732,[2]NV!C:C,0))
                                )
                            )
                        )
                    )
                )
            )
        )
    )
)</f>
        <v>変換アダプター</v>
      </c>
      <c r="C732" s="4" t="s">
        <v>621</v>
      </c>
      <c r="D732" s="4" t="str">
        <f t="shared" si="33"/>
        <v>変換アダプター ｜ 資材倉庫・Irod【11】 ｜ H-1</v>
      </c>
      <c r="E732" s="11" t="str">
        <f t="shared" si="34"/>
        <v>資材倉庫・Irod</v>
      </c>
      <c r="F732" s="12" t="s">
        <v>572</v>
      </c>
      <c r="G732" s="11" t="str">
        <f t="shared" si="35"/>
        <v>11・資材倉庫・IrodH-1</v>
      </c>
    </row>
    <row r="733" spans="1:7" ht="15" customHeight="1" x14ac:dyDescent="0.2">
      <c r="A733" s="10" t="s">
        <v>575</v>
      </c>
      <c r="B733" s="10" t="str">
        <f>IFERROR(
    INDEX([1]FSHIP!B:B,MATCH(A733,[1]FSHIP!A:A,0)),
    IFERROR(
        INDEX([1]釣具商品ship!B:B,MATCH(A733,[1]釣具商品ship!A:A,0)),
        IFERROR(
            INDEX([1]玩具商品ship!B:B,MATCH(A733,[1]玩具商品ship!A:A,0)),
            IFERROR(
                INDEX([1]OEMship!B:B,MATCH(A733,[1]OEMship!A:A,0)),
                IFERROR(
                    INDEX([1]NV6ship!B:B,MATCH(A733,[1]NV6ship!A:A,0)),
                    IFERROR(
                        INDEX([1]NVship!B:B,MATCH(A733,[1]NVship!A:A,0)),
                        IFERROR(
                            INDEX([1]海ship!B:B,MATCH(A733,[1]海ship!A:A,0)),
                            IFERROR(
                                INDEX([1]ｾﾚship!B:B,MATCH(A733,[1]ｾﾚship!A:A,0)),
                                IFERROR(
                                    INDEX([1]ｾﾚﾓﾆｰ商品ship!B:B,MATCH(A733,[1]ｾﾚﾓﾆｰ商品ship!A:A,0)),
                                    INDEX([2]NV!D:D,MATCH(A733,[2]NV!C:C,0))
                                )
                            )
                        )
                    )
                )
            )
        )
    )
)</f>
        <v>Bi Rod 7500シリーズ用三脚</v>
      </c>
      <c r="C733" s="4" t="s">
        <v>573</v>
      </c>
      <c r="D733" s="4" t="str">
        <f t="shared" si="33"/>
        <v>Bi Rod 7500シリーズ用三脚 ｜ 資材倉庫・Irod【11】 ｜ F-1</v>
      </c>
      <c r="E733" s="11" t="str">
        <f t="shared" si="34"/>
        <v>資材倉庫・Irod</v>
      </c>
      <c r="F733" s="12" t="s">
        <v>572</v>
      </c>
      <c r="G733" s="11" t="str">
        <f t="shared" si="35"/>
        <v>11・資材倉庫・IrodF-1</v>
      </c>
    </row>
    <row r="734" spans="1:7" ht="15" customHeight="1" x14ac:dyDescent="0.2">
      <c r="A734" s="10" t="s">
        <v>576</v>
      </c>
      <c r="B734" s="10" t="str">
        <f>IFERROR(
    INDEX([1]FSHIP!B:B,MATCH(A734,[1]FSHIP!A:A,0)),
    IFERROR(
        INDEX([1]釣具商品ship!B:B,MATCH(A734,[1]釣具商品ship!A:A,0)),
        IFERROR(
            INDEX([1]玩具商品ship!B:B,MATCH(A734,[1]玩具商品ship!A:A,0)),
            IFERROR(
                INDEX([1]OEMship!B:B,MATCH(A734,[1]OEMship!A:A,0)),
                IFERROR(
                    INDEX([1]NV6ship!B:B,MATCH(A734,[1]NV6ship!A:A,0)),
                    IFERROR(
                        INDEX([1]NVship!B:B,MATCH(A734,[1]NVship!A:A,0)),
                        IFERROR(
                            INDEX([1]海ship!B:B,MATCH(A734,[1]海ship!A:A,0)),
                            IFERROR(
                                INDEX([1]ｾﾚship!B:B,MATCH(A734,[1]ｾﾚship!A:A,0)),
                                IFERROR(
                                    INDEX([1]ｾﾚﾓﾆｰ商品ship!B:B,MATCH(A734,[1]ｾﾚﾓﾆｰ商品ship!A:A,0)),
                                    INDEX([2]NV!D:D,MATCH(A734,[2]NV!C:C,0))
                                )
                            )
                        )
                    )
                )
            )
        )
    )
)</f>
        <v>Bi Rod 6G-2000+専用三脚セット</v>
      </c>
      <c r="C734" s="4" t="s">
        <v>599</v>
      </c>
      <c r="D734" s="4" t="str">
        <f t="shared" si="33"/>
        <v>Bi Rod 6G-2000+専用三脚セット ｜ 資材倉庫・Irod【11】 ｜ G-1</v>
      </c>
      <c r="E734" s="11" t="str">
        <f t="shared" si="34"/>
        <v>資材倉庫・Irod</v>
      </c>
      <c r="F734" s="12" t="s">
        <v>572</v>
      </c>
      <c r="G734" s="11" t="str">
        <f t="shared" si="35"/>
        <v>11・資材倉庫・IrodG-1</v>
      </c>
    </row>
    <row r="735" spans="1:7" ht="15" customHeight="1" x14ac:dyDescent="0.2">
      <c r="A735" s="10" t="s">
        <v>627</v>
      </c>
      <c r="B735" s="10" t="str">
        <f>IFERROR(
    INDEX([1]FSHIP!B:B,MATCH(A735,[1]FSHIP!A:A,0)),
    IFERROR(
        INDEX([1]釣具商品ship!B:B,MATCH(A735,[1]釣具商品ship!A:A,0)),
        IFERROR(
            INDEX([1]玩具商品ship!B:B,MATCH(A735,[1]玩具商品ship!A:A,0)),
            IFERROR(
                INDEX([1]OEMship!B:B,MATCH(A735,[1]OEMship!A:A,0)),
                IFERROR(
                    INDEX([1]NV6ship!B:B,MATCH(A735,[1]NV6ship!A:A,0)),
                    IFERROR(
                        INDEX([1]NVship!B:B,MATCH(A735,[1]NVship!A:A,0)),
                        IFERROR(
                            INDEX([1]海ship!B:B,MATCH(A735,[1]海ship!A:A,0)),
                            IFERROR(
                                INDEX([1]ｾﾚship!B:B,MATCH(A735,[1]ｾﾚship!A:A,0)),
                                IFERROR(
                                    INDEX([1]ｾﾚﾓﾆｰ商品ship!B:B,MATCH(A735,[1]ｾﾚﾓﾆｰ商品ship!A:A,0)),
                                    INDEX([2]NV!D:D,MATCH(A735,[2]NV!C:C,0))
                                )
                            )
                        )
                    )
                )
            )
        )
    )
)</f>
        <v>Bi Rod 6G-4500+専用三脚セット</v>
      </c>
      <c r="C735" s="4" t="s">
        <v>621</v>
      </c>
      <c r="D735" s="4" t="str">
        <f t="shared" si="33"/>
        <v>Bi Rod 6G-4500+専用三脚セット ｜ 資材倉庫・Irod【11】 ｜ H-1</v>
      </c>
      <c r="E735" s="11" t="str">
        <f t="shared" si="34"/>
        <v>資材倉庫・Irod</v>
      </c>
      <c r="F735" s="12" t="s">
        <v>572</v>
      </c>
      <c r="G735" s="11" t="str">
        <f t="shared" si="35"/>
        <v>11・資材倉庫・IrodH-1</v>
      </c>
    </row>
    <row r="736" spans="1:7" ht="15" customHeight="1" x14ac:dyDescent="0.2">
      <c r="A736" s="10" t="s">
        <v>625</v>
      </c>
      <c r="B736" s="10" t="str">
        <f>IFERROR(
    INDEX([1]FSHIP!B:B,MATCH(A736,[1]FSHIP!A:A,0)),
    IFERROR(
        INDEX([1]釣具商品ship!B:B,MATCH(A736,[1]釣具商品ship!A:A,0)),
        IFERROR(
            INDEX([1]玩具商品ship!B:B,MATCH(A736,[1]玩具商品ship!A:A,0)),
            IFERROR(
                INDEX([1]OEMship!B:B,MATCH(A736,[1]OEMship!A:A,0)),
                IFERROR(
                    INDEX([1]NV6ship!B:B,MATCH(A736,[1]NV6ship!A:A,0)),
                    IFERROR(
                        INDEX([1]NVship!B:B,MATCH(A736,[1]NVship!A:A,0)),
                        IFERROR(
                            INDEX([1]海ship!B:B,MATCH(A736,[1]海ship!A:A,0)),
                            IFERROR(
                                INDEX([1]ｾﾚship!B:B,MATCH(A736,[1]ｾﾚship!A:A,0)),
                                IFERROR(
                                    INDEX([1]ｾﾚﾓﾆｰ商品ship!B:B,MATCH(A736,[1]ｾﾚﾓﾆｰ商品ship!A:A,0)),
                                    INDEX([2]NV!D:D,MATCH(A736,[2]NV!C:C,0))
                                )
                            )
                        )
                    )
                )
            )
        )
    )
)</f>
        <v>iRodベルト</v>
      </c>
      <c r="C736" s="4" t="s">
        <v>621</v>
      </c>
      <c r="D736" s="4" t="str">
        <f t="shared" si="33"/>
        <v>iRodベルト ｜ 資材倉庫・Irod【11】 ｜ H-1</v>
      </c>
      <c r="E736" s="11" t="str">
        <f t="shared" si="34"/>
        <v>資材倉庫・Irod</v>
      </c>
      <c r="F736" s="12" t="s">
        <v>572</v>
      </c>
      <c r="G736" s="11" t="str">
        <f t="shared" si="35"/>
        <v>11・資材倉庫・IrodH-1</v>
      </c>
    </row>
    <row r="737" spans="1:7" ht="15" customHeight="1" x14ac:dyDescent="0.2">
      <c r="A737" s="10" t="s">
        <v>619</v>
      </c>
      <c r="B737" s="10" t="str">
        <f>IFERROR(
    INDEX([1]FSHIP!B:B,MATCH(A737,[1]FSHIP!A:A,0)),
    IFERROR(
        INDEX([1]釣具商品ship!B:B,MATCH(A737,[1]釣具商品ship!A:A,0)),
        IFERROR(
            INDEX([1]玩具商品ship!B:B,MATCH(A737,[1]玩具商品ship!A:A,0)),
            IFERROR(
                INDEX([1]OEMship!B:B,MATCH(A737,[1]OEMship!A:A,0)),
                IFERROR(
                    INDEX([1]NV6ship!B:B,MATCH(A737,[1]NV6ship!A:A,0)),
                    IFERROR(
                        INDEX([1]NVship!B:B,MATCH(A737,[1]NVship!A:A,0)),
                        IFERROR(
                            INDEX([1]海ship!B:B,MATCH(A737,[1]海ship!A:A,0)),
                            IFERROR(
                                INDEX([1]ｾﾚship!B:B,MATCH(A737,[1]ｾﾚship!A:A,0)),
                                IFERROR(
                                    INDEX([1]ｾﾚﾓﾆｰ商品ship!B:B,MATCH(A737,[1]ｾﾚﾓﾆｰ商品ship!A:A,0)),
                                    INDEX([2]NV!D:D,MATCH(A737,[2]NV!C:C,0))
                                )
                            )
                        )
                    )
                )
            )
        )
    )
)</f>
        <v>Bi Wireless Line 6m</v>
      </c>
      <c r="C737" s="4" t="s">
        <v>609</v>
      </c>
      <c r="D737" s="4" t="str">
        <f t="shared" si="33"/>
        <v>Bi Wireless Line 6m ｜ 資材倉庫・Irod【11】 ｜ I-1</v>
      </c>
      <c r="E737" s="11" t="str">
        <f t="shared" si="34"/>
        <v>資材倉庫・Irod</v>
      </c>
      <c r="F737" s="12" t="s">
        <v>572</v>
      </c>
      <c r="G737" s="11" t="str">
        <f t="shared" si="35"/>
        <v>11・資材倉庫・IrodI-1</v>
      </c>
    </row>
    <row r="738" spans="1:7" ht="15" customHeight="1" x14ac:dyDescent="0.2">
      <c r="A738" s="10" t="s">
        <v>612</v>
      </c>
      <c r="B738" s="10" t="str">
        <f>IFERROR(
    INDEX([1]FSHIP!B:B,MATCH(A738,[1]FSHIP!A:A,0)),
    IFERROR(
        INDEX([1]釣具商品ship!B:B,MATCH(A738,[1]釣具商品ship!A:A,0)),
        IFERROR(
            INDEX([1]玩具商品ship!B:B,MATCH(A738,[1]玩具商品ship!A:A,0)),
            IFERROR(
                INDEX([1]OEMship!B:B,MATCH(A738,[1]OEMship!A:A,0)),
                IFERROR(
                    INDEX([1]NV6ship!B:B,MATCH(A738,[1]NV6ship!A:A,0)),
                    IFERROR(
                        INDEX([1]NVship!B:B,MATCH(A738,[1]NVship!A:A,0)),
                        IFERROR(
                            INDEX([1]海ship!B:B,MATCH(A738,[1]海ship!A:A,0)),
                            IFERROR(
                                INDEX([1]ｾﾚship!B:B,MATCH(A738,[1]ｾﾚship!A:A,0)),
                                IFERROR(
                                    INDEX([1]ｾﾚﾓﾆｰ商品ship!B:B,MATCH(A738,[1]ｾﾚﾓﾆｰ商品ship!A:A,0)),
                                    INDEX([2]NV!D:D,MATCH(A738,[2]NV!C:C,0))
                                )
                            )
                        )
                    )
                )
            )
        )
    )
)</f>
        <v>Bi Wireless Line 10m</v>
      </c>
      <c r="C738" s="4" t="s">
        <v>609</v>
      </c>
      <c r="D738" s="4" t="str">
        <f t="shared" si="33"/>
        <v>Bi Wireless Line 10m ｜ 資材倉庫・Irod【11】 ｜ I-1</v>
      </c>
      <c r="E738" s="11" t="str">
        <f t="shared" si="34"/>
        <v>資材倉庫・Irod</v>
      </c>
      <c r="F738" s="12" t="s">
        <v>572</v>
      </c>
      <c r="G738" s="11" t="str">
        <f t="shared" si="35"/>
        <v>11・資材倉庫・IrodI-1</v>
      </c>
    </row>
    <row r="739" spans="1:7" ht="15" customHeight="1" x14ac:dyDescent="0.2">
      <c r="A739" s="10" t="s">
        <v>563</v>
      </c>
      <c r="B739" s="10" t="str">
        <f>IFERROR(
    INDEX([1]FSHIP!B:B,MATCH(A739,[1]FSHIP!A:A,0)),
    IFERROR(
        INDEX([1]釣具商品ship!B:B,MATCH(A739,[1]釣具商品ship!A:A,0)),
        IFERROR(
            INDEX([1]玩具商品ship!B:B,MATCH(A739,[1]玩具商品ship!A:A,0)),
            IFERROR(
                INDEX([1]OEMship!B:B,MATCH(A739,[1]OEMship!A:A,0)),
                IFERROR(
                    INDEX([1]NV6ship!B:B,MATCH(A739,[1]NV6ship!A:A,0)),
                    IFERROR(
                        INDEX([1]NVship!B:B,MATCH(A739,[1]NVship!A:A,0)),
                        IFERROR(
                            INDEX([1]海ship!B:B,MATCH(A739,[1]海ship!A:A,0)),
                            IFERROR(
                                INDEX([1]ｾﾚship!B:B,MATCH(A739,[1]ｾﾚship!A:A,0)),
                                IFERROR(
                                    INDEX([1]ｾﾚﾓﾆｰ商品ship!B:B,MATCH(A739,[1]ｾﾚﾓﾆｰ商品ship!A:A,0)),
                                    INDEX([2]NV!D:D,MATCH(A739,[2]NV!C:C,0))
                                )
                            )
                        )
                    )
                )
            )
        )
    )
)</f>
        <v>Bi　Rod 6C-4500</v>
      </c>
      <c r="C739" s="4" t="s">
        <v>562</v>
      </c>
      <c r="D739" s="4" t="str">
        <f t="shared" si="33"/>
        <v>Bi　Rod 6C-4500 ｜ 資材倉庫・Irod【11】 ｜ D-1</v>
      </c>
      <c r="E739" s="11" t="str">
        <f t="shared" si="34"/>
        <v>資材倉庫・Irod</v>
      </c>
      <c r="F739" s="12" t="s">
        <v>546</v>
      </c>
      <c r="G739" s="11" t="str">
        <f t="shared" si="35"/>
        <v>11・資材倉庫・IrodD-1</v>
      </c>
    </row>
    <row r="740" spans="1:7" ht="15" customHeight="1" x14ac:dyDescent="0.2">
      <c r="A740" s="10" t="s">
        <v>566</v>
      </c>
      <c r="B740" s="10" t="str">
        <f>IFERROR(
    INDEX([1]FSHIP!B:B,MATCH(A740,[1]FSHIP!A:A,0)),
    IFERROR(
        INDEX([1]釣具商品ship!B:B,MATCH(A740,[1]釣具商品ship!A:A,0)),
        IFERROR(
            INDEX([1]玩具商品ship!B:B,MATCH(A740,[1]玩具商品ship!A:A,0)),
            IFERROR(
                INDEX([1]OEMship!B:B,MATCH(A740,[1]OEMship!A:A,0)),
                IFERROR(
                    INDEX([1]NV6ship!B:B,MATCH(A740,[1]NV6ship!A:A,0)),
                    IFERROR(
                        INDEX([1]NVship!B:B,MATCH(A740,[1]NVship!A:A,0)),
                        IFERROR(
                            INDEX([1]海ship!B:B,MATCH(A740,[1]海ship!A:A,0)),
                            IFERROR(
                                INDEX([1]ｾﾚship!B:B,MATCH(A740,[1]ｾﾚship!A:A,0)),
                                IFERROR(
                                    INDEX([1]ｾﾚﾓﾆｰ商品ship!B:B,MATCH(A740,[1]ｾﾚﾓﾆｰ商品ship!A:A,0)),
                                    INDEX([2]NV!D:D,MATCH(A740,[2]NV!C:C,0))
                                )
                            )
                        )
                    )
                )
            )
        )
    )
)</f>
        <v>Bi Rod 6C-4500+専用三脚セット</v>
      </c>
      <c r="C740" s="4" t="s">
        <v>562</v>
      </c>
      <c r="D740" s="4" t="str">
        <f t="shared" si="33"/>
        <v>Bi Rod 6C-4500+専用三脚セット ｜ 資材倉庫・Irod【11】 ｜ D-1</v>
      </c>
      <c r="E740" s="11" t="str">
        <f t="shared" si="34"/>
        <v>資材倉庫・Irod</v>
      </c>
      <c r="F740" s="12" t="s">
        <v>546</v>
      </c>
      <c r="G740" s="11" t="str">
        <f t="shared" si="35"/>
        <v>11・資材倉庫・IrodD-1</v>
      </c>
    </row>
    <row r="741" spans="1:7" ht="15" customHeight="1" x14ac:dyDescent="0.2">
      <c r="A741" s="10" t="s">
        <v>617</v>
      </c>
      <c r="B741" s="10" t="str">
        <f>IFERROR(
    INDEX([1]FSHIP!B:B,MATCH(A741,[1]FSHIP!A:A,0)),
    IFERROR(
        INDEX([1]釣具商品ship!B:B,MATCH(A741,[1]釣具商品ship!A:A,0)),
        IFERROR(
            INDEX([1]玩具商品ship!B:B,MATCH(A741,[1]玩具商品ship!A:A,0)),
            IFERROR(
                INDEX([1]OEMship!B:B,MATCH(A741,[1]OEMship!A:A,0)),
                IFERROR(
                    INDEX([1]NV6ship!B:B,MATCH(A741,[1]NV6ship!A:A,0)),
                    IFERROR(
                        INDEX([1]NVship!B:B,MATCH(A741,[1]NVship!A:A,0)),
                        IFERROR(
                            INDEX([1]海ship!B:B,MATCH(A741,[1]海ship!A:A,0)),
                            IFERROR(
                                INDEX([1]ｾﾚship!B:B,MATCH(A741,[1]ｾﾚship!A:A,0)),
                                IFERROR(
                                    INDEX([1]ｾﾚﾓﾆｰ商品ship!B:B,MATCH(A741,[1]ｾﾚﾓﾆｰ商品ship!A:A,0)),
                                    INDEX([2]NV!D:D,MATCH(A741,[2]NV!C:C,0))
                                )
                            )
                        )
                    )
                )
            )
        )
    )
)</f>
        <v>Bi　Rod クランプレバー</v>
      </c>
      <c r="C741" s="4" t="s">
        <v>609</v>
      </c>
      <c r="D741" s="4" t="str">
        <f t="shared" si="33"/>
        <v>Bi　Rod クランプレバー ｜ 資材倉庫・Irod【11】 ｜ I-1</v>
      </c>
      <c r="E741" s="11" t="str">
        <f t="shared" si="34"/>
        <v>資材倉庫・Irod</v>
      </c>
      <c r="F741" s="12" t="s">
        <v>572</v>
      </c>
      <c r="G741" s="11" t="str">
        <f t="shared" si="35"/>
        <v>11・資材倉庫・IrodI-1</v>
      </c>
    </row>
    <row r="742" spans="1:7" ht="15" customHeight="1" x14ac:dyDescent="0.2">
      <c r="A742" s="10" t="s">
        <v>618</v>
      </c>
      <c r="B742" s="10" t="str">
        <f>IFERROR(
    INDEX([1]FSHIP!B:B,MATCH(A742,[1]FSHIP!A:A,0)),
    IFERROR(
        INDEX([1]釣具商品ship!B:B,MATCH(A742,[1]釣具商品ship!A:A,0)),
        IFERROR(
            INDEX([1]玩具商品ship!B:B,MATCH(A742,[1]玩具商品ship!A:A,0)),
            IFERROR(
                INDEX([1]OEMship!B:B,MATCH(A742,[1]OEMship!A:A,0)),
                IFERROR(
                    INDEX([1]NV6ship!B:B,MATCH(A742,[1]NV6ship!A:A,0)),
                    IFERROR(
                        INDEX([1]NVship!B:B,MATCH(A742,[1]NVship!A:A,0)),
                        IFERROR(
                            INDEX([1]海ship!B:B,MATCH(A742,[1]海ship!A:A,0)),
                            IFERROR(
                                INDEX([1]ｾﾚship!B:B,MATCH(A742,[1]ｾﾚship!A:A,0)),
                                IFERROR(
                                    INDEX([1]ｾﾚﾓﾆｰ商品ship!B:B,MATCH(A742,[1]ｾﾚﾓﾆｰ商品ship!A:A,0)),
                                    INDEX([2]NV!D:D,MATCH(A742,[2]NV!C:C,0))
                                )
                            )
                        )
                    )
                )
            )
        )
    )
)</f>
        <v>Bi　Rod エンドキャップ</v>
      </c>
      <c r="C742" s="4" t="s">
        <v>609</v>
      </c>
      <c r="D742" s="4" t="str">
        <f t="shared" si="33"/>
        <v>Bi　Rod エンドキャップ ｜ 資材倉庫・Irod【11】 ｜ I-1</v>
      </c>
      <c r="E742" s="11" t="str">
        <f t="shared" si="34"/>
        <v>資材倉庫・Irod</v>
      </c>
      <c r="F742" s="12" t="s">
        <v>572</v>
      </c>
      <c r="G742" s="11" t="str">
        <f t="shared" si="35"/>
        <v>11・資材倉庫・IrodI-1</v>
      </c>
    </row>
    <row r="743" spans="1:7" ht="15" customHeight="1" x14ac:dyDescent="0.2">
      <c r="A743" s="10" t="s">
        <v>629</v>
      </c>
      <c r="B743" s="10" t="str">
        <f>IFERROR(
    INDEX([1]FSHIP!B:B,MATCH(A743,[1]FSHIP!A:A,0)),
    IFERROR(
        INDEX([1]釣具商品ship!B:B,MATCH(A743,[1]釣具商品ship!A:A,0)),
        IFERROR(
            INDEX([1]玩具商品ship!B:B,MATCH(A743,[1]玩具商品ship!A:A,0)),
            IFERROR(
                INDEX([1]OEMship!B:B,MATCH(A743,[1]OEMship!A:A,0)),
                IFERROR(
                    INDEX([1]NV6ship!B:B,MATCH(A743,[1]NV6ship!A:A,0)),
                    IFERROR(
                        INDEX([1]NVship!B:B,MATCH(A743,[1]NVship!A:A,0)),
                        IFERROR(
                            INDEX([1]海ship!B:B,MATCH(A743,[1]海ship!A:A,0)),
                            IFERROR(
                                INDEX([1]ｾﾚship!B:B,MATCH(A743,[1]ｾﾚship!A:A,0)),
                                IFERROR(
                                    INDEX([1]ｾﾚﾓﾆｰ商品ship!B:B,MATCH(A743,[1]ｾﾚﾓﾆｰ商品ship!A:A,0)),
                                    INDEX([2]NV!D:D,MATCH(A743,[2]NV!C:C,0))
                                )
                            )
                        )
                    )
                )
            )
        )
    )
)</f>
        <v>Y字型 腰当てベルト</v>
      </c>
      <c r="C743" s="4" t="s">
        <v>621</v>
      </c>
      <c r="D743" s="4" t="str">
        <f t="shared" si="33"/>
        <v>Y字型 腰当てベルト ｜ 資材倉庫・Irod【11】 ｜ H-1</v>
      </c>
      <c r="E743" s="11" t="str">
        <f t="shared" si="34"/>
        <v>資材倉庫・Irod</v>
      </c>
      <c r="F743" s="12" t="s">
        <v>572</v>
      </c>
      <c r="G743" s="11" t="str">
        <f t="shared" si="35"/>
        <v>11・資材倉庫・IrodH-1</v>
      </c>
    </row>
    <row r="744" spans="1:7" ht="15" customHeight="1" x14ac:dyDescent="0.2">
      <c r="A744" s="10" t="s">
        <v>577</v>
      </c>
      <c r="B744" s="10" t="str">
        <f>IFERROR(
    INDEX([1]FSHIP!B:B,MATCH(A744,[1]FSHIP!A:A,0)),
    IFERROR(
        INDEX([1]釣具商品ship!B:B,MATCH(A744,[1]釣具商品ship!A:A,0)),
        IFERROR(
            INDEX([1]玩具商品ship!B:B,MATCH(A744,[1]玩具商品ship!A:A,0)),
            IFERROR(
                INDEX([1]OEMship!B:B,MATCH(A744,[1]OEMship!A:A,0)),
                IFERROR(
                    INDEX([1]NV6ship!B:B,MATCH(A744,[1]NV6ship!A:A,0)),
                    IFERROR(
                        INDEX([1]NVship!B:B,MATCH(A744,[1]NVship!A:A,0)),
                        IFERROR(
                            INDEX([1]海ship!B:B,MATCH(A744,[1]海ship!A:A,0)),
                            IFERROR(
                                INDEX([1]ｾﾚship!B:B,MATCH(A744,[1]ｾﾚship!A:A,0)),
                                IFERROR(
                                    INDEX([1]ｾﾚﾓﾆｰ商品ship!B:B,MATCH(A744,[1]ｾﾚﾓﾆｰ商品ship!A:A,0)),
                                    INDEX([2]NV!D:D,MATCH(A744,[2]NV!C:C,0))
                                )
                            )
                        )
                    )
                )
            )
        )
    )
)</f>
        <v>Bi Wireless Line Plus 20m</v>
      </c>
      <c r="C744" s="4" t="s">
        <v>599</v>
      </c>
      <c r="D744" s="4" t="str">
        <f t="shared" si="33"/>
        <v>Bi Wireless Line Plus 20m ｜ 資材倉庫・Irod【11】 ｜ G-1</v>
      </c>
      <c r="E744" s="11" t="str">
        <f t="shared" si="34"/>
        <v>資材倉庫・Irod</v>
      </c>
      <c r="F744" s="12" t="s">
        <v>572</v>
      </c>
      <c r="G744" s="11" t="str">
        <f t="shared" si="35"/>
        <v>11・資材倉庫・IrodG-1</v>
      </c>
    </row>
    <row r="745" spans="1:7" ht="15" customHeight="1" x14ac:dyDescent="0.2">
      <c r="A745" s="10" t="s">
        <v>578</v>
      </c>
      <c r="B745" s="10" t="str">
        <f>IFERROR(
    INDEX([1]FSHIP!B:B,MATCH(A745,[1]FSHIP!A:A,0)),
    IFERROR(
        INDEX([1]釣具商品ship!B:B,MATCH(A745,[1]釣具商品ship!A:A,0)),
        IFERROR(
            INDEX([1]玩具商品ship!B:B,MATCH(A745,[1]玩具商品ship!A:A,0)),
            IFERROR(
                INDEX([1]OEMship!B:B,MATCH(A745,[1]OEMship!A:A,0)),
                IFERROR(
                    INDEX([1]NV6ship!B:B,MATCH(A745,[1]NV6ship!A:A,0)),
                    IFERROR(
                        INDEX([1]NVship!B:B,MATCH(A745,[1]NVship!A:A,0)),
                        IFERROR(
                            INDEX([1]海ship!B:B,MATCH(A745,[1]海ship!A:A,0)),
                            IFERROR(
                                INDEX([1]ｾﾚship!B:B,MATCH(A745,[1]ｾﾚship!A:A,0)),
                                IFERROR(
                                    INDEX([1]ｾﾚﾓﾆｰ商品ship!B:B,MATCH(A745,[1]ｾﾚﾓﾆｰ商品ship!A:A,0)),
                                    INDEX([2]NV!D:D,MATCH(A745,[2]NV!C:C,0))
                                )
                            )
                        )
                    )
                )
            )
        )
    )
)</f>
        <v>Bi Wireless Line Plus 50m</v>
      </c>
      <c r="C745" s="4" t="s">
        <v>599</v>
      </c>
      <c r="D745" s="4" t="str">
        <f t="shared" si="33"/>
        <v>Bi Wireless Line Plus 50m ｜ 資材倉庫・Irod【11】 ｜ G-1</v>
      </c>
      <c r="E745" s="11" t="str">
        <f t="shared" si="34"/>
        <v>資材倉庫・Irod</v>
      </c>
      <c r="F745" s="12" t="s">
        <v>572</v>
      </c>
      <c r="G745" s="11" t="str">
        <f t="shared" si="35"/>
        <v>11・資材倉庫・IrodG-1</v>
      </c>
    </row>
    <row r="746" spans="1:7" ht="15" customHeight="1" x14ac:dyDescent="0.2">
      <c r="A746" s="10" t="s">
        <v>611</v>
      </c>
      <c r="B746" s="10" t="str">
        <f>IFERROR(
    INDEX([1]FSHIP!B:B,MATCH(A746,[1]FSHIP!A:A,0)),
    IFERROR(
        INDEX([1]釣具商品ship!B:B,MATCH(A746,[1]釣具商品ship!A:A,0)),
        IFERROR(
            INDEX([1]玩具商品ship!B:B,MATCH(A746,[1]玩具商品ship!A:A,0)),
            IFERROR(
                INDEX([1]OEMship!B:B,MATCH(A746,[1]OEMship!A:A,0)),
                IFERROR(
                    INDEX([1]NV6ship!B:B,MATCH(A746,[1]NV6ship!A:A,0)),
                    IFERROR(
                        INDEX([1]NVship!B:B,MATCH(A746,[1]NVship!A:A,0)),
                        IFERROR(
                            INDEX([1]海ship!B:B,MATCH(A746,[1]海ship!A:A,0)),
                            IFERROR(
                                INDEX([1]ｾﾚship!B:B,MATCH(A746,[1]ｾﾚship!A:A,0)),
                                IFERROR(
                                    INDEX([1]ｾﾚﾓﾆｰ商品ship!B:B,MATCH(A746,[1]ｾﾚﾓﾆｰ商品ship!A:A,0)),
                                    INDEX([2]NV!D:D,MATCH(A746,[2]NV!C:C,0))
                                )
                            )
                        )
                    )
                )
            )
        )
    )
)</f>
        <v>Bi モニターホルダー</v>
      </c>
      <c r="C746" s="4" t="s">
        <v>609</v>
      </c>
      <c r="D746" s="4" t="str">
        <f t="shared" si="33"/>
        <v>Bi モニターホルダー ｜ 資材倉庫・Irod【11】 ｜ I-1</v>
      </c>
      <c r="E746" s="11" t="str">
        <f t="shared" si="34"/>
        <v>資材倉庫・Irod</v>
      </c>
      <c r="F746" s="12" t="s">
        <v>572</v>
      </c>
      <c r="G746" s="11" t="str">
        <f t="shared" si="35"/>
        <v>11・資材倉庫・IrodI-1</v>
      </c>
    </row>
    <row r="747" spans="1:7" ht="15" customHeight="1" x14ac:dyDescent="0.2">
      <c r="A747" s="10" t="s">
        <v>579</v>
      </c>
      <c r="B747" s="10" t="str">
        <f>IFERROR(
    INDEX([1]FSHIP!B:B,MATCH(A747,[1]FSHIP!A:A,0)),
    IFERROR(
        INDEX([1]釣具商品ship!B:B,MATCH(A747,[1]釣具商品ship!A:A,0)),
        IFERROR(
            INDEX([1]玩具商品ship!B:B,MATCH(A747,[1]玩具商品ship!A:A,0)),
            IFERROR(
                INDEX([1]OEMship!B:B,MATCH(A747,[1]OEMship!A:A,0)),
                IFERROR(
                    INDEX([1]NV6ship!B:B,MATCH(A747,[1]NV6ship!A:A,0)),
                    IFERROR(
                        INDEX([1]NVship!B:B,MATCH(A747,[1]NVship!A:A,0)),
                        IFERROR(
                            INDEX([1]海ship!B:B,MATCH(A747,[1]海ship!A:A,0)),
                            IFERROR(
                                INDEX([1]ｾﾚship!B:B,MATCH(A747,[1]ｾﾚship!A:A,0)),
                                IFERROR(
                                    INDEX([1]ｾﾚﾓﾆｰ商品ship!B:B,MATCH(A747,[1]ｾﾚﾓﾆｰ商品ship!A:A,0)),
                                    INDEX([2]NV!D:D,MATCH(A747,[2]NV!C:C,0))
                                )
                            )
                        )
                    )
                )
            )
        )
    )
)</f>
        <v>Bi Rod 4500シリーズ用三脚</v>
      </c>
      <c r="C747" s="4" t="s">
        <v>599</v>
      </c>
      <c r="D747" s="4" t="str">
        <f t="shared" si="33"/>
        <v>Bi Rod 4500シリーズ用三脚 ｜ 資材倉庫・Irod【11】 ｜ G-1</v>
      </c>
      <c r="E747" s="11" t="str">
        <f t="shared" si="34"/>
        <v>資材倉庫・Irod</v>
      </c>
      <c r="F747" s="12" t="s">
        <v>572</v>
      </c>
      <c r="G747" s="11" t="str">
        <f t="shared" si="35"/>
        <v>11・資材倉庫・IrodG-1</v>
      </c>
    </row>
    <row r="748" spans="1:7" ht="15" customHeight="1" x14ac:dyDescent="0.2">
      <c r="A748" s="10" t="s">
        <v>580</v>
      </c>
      <c r="B748" s="10" t="str">
        <f>IFERROR(
    INDEX([1]FSHIP!B:B,MATCH(A748,[1]FSHIP!A:A,0)),
    IFERROR(
        INDEX([1]釣具商品ship!B:B,MATCH(A748,[1]釣具商品ship!A:A,0)),
        IFERROR(
            INDEX([1]玩具商品ship!B:B,MATCH(A748,[1]玩具商品ship!A:A,0)),
            IFERROR(
                INDEX([1]OEMship!B:B,MATCH(A748,[1]OEMship!A:A,0)),
                IFERROR(
                    INDEX([1]NV6ship!B:B,MATCH(A748,[1]NV6ship!A:A,0)),
                    IFERROR(
                        INDEX([1]NVship!B:B,MATCH(A748,[1]NVship!A:A,0)),
                        IFERROR(
                            INDEX([1]海ship!B:B,MATCH(A748,[1]海ship!A:A,0)),
                            IFERROR(
                                INDEX([1]ｾﾚship!B:B,MATCH(A748,[1]ｾﾚship!A:A,0)),
                                IFERROR(
                                    INDEX([1]ｾﾚﾓﾆｰ商品ship!B:B,MATCH(A748,[1]ｾﾚﾓﾆｰ商品ship!A:A,0)),
                                    INDEX([2]NV!D:D,MATCH(A748,[2]NV!C:C,0))
                                )
                            )
                        )
                    )
                )
            )
        )
    )
)</f>
        <v>Bi キャリーバッグ</v>
      </c>
      <c r="C748" s="4" t="s">
        <v>599</v>
      </c>
      <c r="D748" s="4" t="str">
        <f t="shared" si="33"/>
        <v>Bi キャリーバッグ ｜ 資材倉庫・Irod【11】 ｜ G-1</v>
      </c>
      <c r="E748" s="11" t="str">
        <f t="shared" si="34"/>
        <v>資材倉庫・Irod</v>
      </c>
      <c r="F748" s="12" t="s">
        <v>572</v>
      </c>
      <c r="G748" s="11" t="str">
        <f t="shared" si="35"/>
        <v>11・資材倉庫・IrodG-1</v>
      </c>
    </row>
    <row r="749" spans="1:7" ht="15" customHeight="1" x14ac:dyDescent="0.2">
      <c r="A749" s="10" t="s">
        <v>581</v>
      </c>
      <c r="B749" s="10" t="str">
        <f>IFERROR(
    INDEX([1]FSHIP!B:B,MATCH(A749,[1]FSHIP!A:A,0)),
    IFERROR(
        INDEX([1]釣具商品ship!B:B,MATCH(A749,[1]釣具商品ship!A:A,0)),
        IFERROR(
            INDEX([1]玩具商品ship!B:B,MATCH(A749,[1]玩具商品ship!A:A,0)),
            IFERROR(
                INDEX([1]OEMship!B:B,MATCH(A749,[1]OEMship!A:A,0)),
                IFERROR(
                    INDEX([1]NV6ship!B:B,MATCH(A749,[1]NV6ship!A:A,0)),
                    IFERROR(
                        INDEX([1]NVship!B:B,MATCH(A749,[1]NVship!A:A,0)),
                        IFERROR(
                            INDEX([1]海ship!B:B,MATCH(A749,[1]海ship!A:A,0)),
                            IFERROR(
                                INDEX([1]ｾﾚship!B:B,MATCH(A749,[1]ｾﾚship!A:A,0)),
                                IFERROR(
                                    INDEX([1]ｾﾚﾓﾆｰ商品ship!B:B,MATCH(A749,[1]ｾﾚﾓﾆｰ商品ship!A:A,0)),
                                    INDEX([2]NV!D:D,MATCH(A749,[2]NV!C:C,0))
                                )
                            )
                        )
                    )
                )
            )
        )
    )
)</f>
        <v>Bi Rod専用三脚用キャスター(3個ｾｯﾄ)</v>
      </c>
      <c r="C749" s="4" t="s">
        <v>599</v>
      </c>
      <c r="D749" s="4" t="str">
        <f t="shared" si="33"/>
        <v>Bi Rod専用三脚用キャスター(3個ｾｯﾄ) ｜ 資材倉庫・Irod【11】 ｜ G-1</v>
      </c>
      <c r="E749" s="11" t="str">
        <f t="shared" si="34"/>
        <v>資材倉庫・Irod</v>
      </c>
      <c r="F749" s="12" t="s">
        <v>572</v>
      </c>
      <c r="G749" s="11" t="str">
        <f t="shared" si="35"/>
        <v>11・資材倉庫・IrodG-1</v>
      </c>
    </row>
    <row r="750" spans="1:7" ht="15" customHeight="1" x14ac:dyDescent="0.2">
      <c r="A750" s="10" t="s">
        <v>582</v>
      </c>
      <c r="B750" s="10" t="str">
        <f>IFERROR(
    INDEX([1]FSHIP!B:B,MATCH(A750,[1]FSHIP!A:A,0)),
    IFERROR(
        INDEX([1]釣具商品ship!B:B,MATCH(A750,[1]釣具商品ship!A:A,0)),
        IFERROR(
            INDEX([1]玩具商品ship!B:B,MATCH(A750,[1]玩具商品ship!A:A,0)),
            IFERROR(
                INDEX([1]OEMship!B:B,MATCH(A750,[1]OEMship!A:A,0)),
                IFERROR(
                    INDEX([1]NV6ship!B:B,MATCH(A750,[1]NV6ship!A:A,0)),
                    IFERROR(
                        INDEX([1]NVship!B:B,MATCH(A750,[1]NVship!A:A,0)),
                        IFERROR(
                            INDEX([1]海ship!B:B,MATCH(A750,[1]海ship!A:A,0)),
                            IFERROR(
                                INDEX([1]ｾﾚship!B:B,MATCH(A750,[1]ｾﾚship!A:A,0)),
                                IFERROR(
                                    INDEX([1]ｾﾚﾓﾆｰ商品ship!B:B,MATCH(A750,[1]ｾﾚﾓﾆｰ商品ship!A:A,0)),
                                    INDEX([2]NV!D:D,MATCH(A750,[2]NV!C:C,0))
                                )
                            )
                        )
                    )
                )
            )
        )
    )
)</f>
        <v>ｽﾋﾟｺﾞｯﾄ(3/8ｵｽ&amp;5/8ｵｽねじﾀｲﾌﾟ)</v>
      </c>
      <c r="C750" s="4" t="s">
        <v>599</v>
      </c>
      <c r="D750" s="4" t="str">
        <f t="shared" si="33"/>
        <v>ｽﾋﾟｺﾞｯﾄ(3/8ｵｽ&amp;5/8ｵｽねじﾀｲﾌﾟ) ｜ 資材倉庫・Irod【11】 ｜ G-1</v>
      </c>
      <c r="E750" s="11" t="str">
        <f t="shared" si="34"/>
        <v>資材倉庫・Irod</v>
      </c>
      <c r="F750" s="12" t="s">
        <v>572</v>
      </c>
      <c r="G750" s="11" t="str">
        <f t="shared" si="35"/>
        <v>11・資材倉庫・IrodG-1</v>
      </c>
    </row>
    <row r="751" spans="1:7" ht="15" customHeight="1" x14ac:dyDescent="0.2">
      <c r="A751" s="10" t="s">
        <v>583</v>
      </c>
      <c r="B751" s="10" t="str">
        <f>IFERROR(
    INDEX([1]FSHIP!B:B,MATCH(A751,[1]FSHIP!A:A,0)),
    IFERROR(
        INDEX([1]釣具商品ship!B:B,MATCH(A751,[1]釣具商品ship!A:A,0)),
        IFERROR(
            INDEX([1]玩具商品ship!B:B,MATCH(A751,[1]玩具商品ship!A:A,0)),
            IFERROR(
                INDEX([1]OEMship!B:B,MATCH(A751,[1]OEMship!A:A,0)),
                IFERROR(
                    INDEX([1]NV6ship!B:B,MATCH(A751,[1]NV6ship!A:A,0)),
                    IFERROR(
                        INDEX([1]NVship!B:B,MATCH(A751,[1]NVship!A:A,0)),
                        IFERROR(
                            INDEX([1]海ship!B:B,MATCH(A751,[1]海ship!A:A,0)),
                            IFERROR(
                                INDEX([1]ｾﾚship!B:B,MATCH(A751,[1]ｾﾚship!A:A,0)),
                                IFERROR(
                                    INDEX([1]ｾﾚﾓﾆｰ商品ship!B:B,MATCH(A751,[1]ｾﾚﾓﾆｰ商品ship!A:A,0)),
                                    INDEX([2]NV!D:D,MATCH(A751,[2]NV!C:C,0))
                                )
                            )
                        )
                    )
                )
            )
        )
    )
)</f>
        <v>17mm ﾀﾞﾎﾞ受けｱﾀﾞﾌﾟﾀｰ</v>
      </c>
      <c r="C751" s="4" t="s">
        <v>599</v>
      </c>
      <c r="D751" s="4" t="str">
        <f t="shared" si="33"/>
        <v>17mm ﾀﾞﾎﾞ受けｱﾀﾞﾌﾟﾀｰ ｜ 資材倉庫・Irod【11】 ｜ G-1</v>
      </c>
      <c r="E751" s="11" t="str">
        <f t="shared" si="34"/>
        <v>資材倉庫・Irod</v>
      </c>
      <c r="F751" s="12" t="s">
        <v>572</v>
      </c>
      <c r="G751" s="11" t="str">
        <f t="shared" si="35"/>
        <v>11・資材倉庫・IrodG-1</v>
      </c>
    </row>
    <row r="752" spans="1:7" ht="15" customHeight="1" x14ac:dyDescent="0.2">
      <c r="A752" s="10" t="s">
        <v>598</v>
      </c>
      <c r="B752" s="10" t="str">
        <f>IFERROR(
    INDEX([1]FSHIP!B:B,MATCH(A752,[1]FSHIP!A:A,0)),
    IFERROR(
        INDEX([1]釣具商品ship!B:B,MATCH(A752,[1]釣具商品ship!A:A,0)),
        IFERROR(
            INDEX([1]玩具商品ship!B:B,MATCH(A752,[1]玩具商品ship!A:A,0)),
            IFERROR(
                INDEX([1]OEMship!B:B,MATCH(A752,[1]OEMship!A:A,0)),
                IFERROR(
                    INDEX([1]NV6ship!B:B,MATCH(A752,[1]NV6ship!A:A,0)),
                    IFERROR(
                        INDEX([1]NVship!B:B,MATCH(A752,[1]NVship!A:A,0)),
                        IFERROR(
                            INDEX([1]海ship!B:B,MATCH(A752,[1]海ship!A:A,0)),
                            IFERROR(
                                INDEX([1]ｾﾚship!B:B,MATCH(A752,[1]ｾﾚship!A:A,0)),
                                IFERROR(
                                    INDEX([1]ｾﾚﾓﾆｰ商品ship!B:B,MATCH(A752,[1]ｾﾚﾓﾆｰ商品ship!A:A,0)),
                                    INDEX([2]NV!D:D,MATCH(A752,[2]NV!C:C,0))
                                )
                            )
                        )
                    )
                )
            )
        )
    )
)</f>
        <v>Bi Wireless Line Plus 10m</v>
      </c>
      <c r="C752" s="4" t="s">
        <v>599</v>
      </c>
      <c r="D752" s="4" t="str">
        <f t="shared" si="33"/>
        <v>Bi Wireless Line Plus 10m ｜ 資材倉庫・Irod【11】 ｜ G-1</v>
      </c>
      <c r="E752" s="11" t="str">
        <f t="shared" si="34"/>
        <v>資材倉庫・Irod</v>
      </c>
      <c r="F752" s="12" t="s">
        <v>572</v>
      </c>
      <c r="G752" s="11" t="str">
        <f t="shared" si="35"/>
        <v>11・資材倉庫・IrodG-1</v>
      </c>
    </row>
    <row r="753" spans="1:7" ht="15" customHeight="1" x14ac:dyDescent="0.2">
      <c r="A753" s="10" t="s">
        <v>610</v>
      </c>
      <c r="B753" s="10" t="str">
        <f>IFERROR(
    INDEX([1]FSHIP!B:B,MATCH(A753,[1]FSHIP!A:A,0)),
    IFERROR(
        INDEX([1]釣具商品ship!B:B,MATCH(A753,[1]釣具商品ship!A:A,0)),
        IFERROR(
            INDEX([1]玩具商品ship!B:B,MATCH(A753,[1]玩具商品ship!A:A,0)),
            IFERROR(
                INDEX([1]OEMship!B:B,MATCH(A753,[1]OEMship!A:A,0)),
                IFERROR(
                    INDEX([1]NV6ship!B:B,MATCH(A753,[1]NV6ship!A:A,0)),
                    IFERROR(
                        INDEX([1]NVship!B:B,MATCH(A753,[1]NVship!A:A,0)),
                        IFERROR(
                            INDEX([1]海ship!B:B,MATCH(A753,[1]海ship!A:A,0)),
                            IFERROR(
                                INDEX([1]ｾﾚship!B:B,MATCH(A753,[1]ｾﾚship!A:A,0)),
                                IFERROR(
                                    INDEX([1]ｾﾚﾓﾆｰ商品ship!B:B,MATCH(A753,[1]ｾﾚﾓﾆｰ商品ship!A:A,0)),
                                    INDEX([2]NV!D:D,MATCH(A753,[2]NV!C:C,0))
                                )
                            )
                        )
                    )
                )
            )
        )
    )
)</f>
        <v>三脚マウントアダプタ</v>
      </c>
      <c r="C753" s="4" t="s">
        <v>609</v>
      </c>
      <c r="D753" s="4" t="str">
        <f t="shared" si="33"/>
        <v>三脚マウントアダプタ ｜ 資材倉庫・Irod【11】 ｜ I-1</v>
      </c>
      <c r="E753" s="11" t="str">
        <f t="shared" si="34"/>
        <v>資材倉庫・Irod</v>
      </c>
      <c r="F753" s="12" t="s">
        <v>572</v>
      </c>
      <c r="G753" s="11" t="str">
        <f t="shared" si="35"/>
        <v>11・資材倉庫・IrodI-1</v>
      </c>
    </row>
    <row r="754" spans="1:7" ht="15" customHeight="1" x14ac:dyDescent="0.2">
      <c r="A754" s="10" t="s">
        <v>613</v>
      </c>
      <c r="B754" s="10" t="str">
        <f>IFERROR(
    INDEX([1]FSHIP!B:B,MATCH(A754,[1]FSHIP!A:A,0)),
    IFERROR(
        INDEX([1]釣具商品ship!B:B,MATCH(A754,[1]釣具商品ship!A:A,0)),
        IFERROR(
            INDEX([1]玩具商品ship!B:B,MATCH(A754,[1]玩具商品ship!A:A,0)),
            IFERROR(
                INDEX([1]OEMship!B:B,MATCH(A754,[1]OEMship!A:A,0)),
                IFERROR(
                    INDEX([1]NV6ship!B:B,MATCH(A754,[1]NV6ship!A:A,0)),
                    IFERROR(
                        INDEX([1]NVship!B:B,MATCH(A754,[1]NVship!A:A,0)),
                        IFERROR(
                            INDEX([1]海ship!B:B,MATCH(A754,[1]海ship!A:A,0)),
                            IFERROR(
                                INDEX([1]ｾﾚship!B:B,MATCH(A754,[1]ｾﾚship!A:A,0)),
                                IFERROR(
                                    INDEX([1]ｾﾚﾓﾆｰ商品ship!B:B,MATCH(A754,[1]ｾﾚﾓﾆｰ商品ship!A:A,0)),
                                    INDEX([2]NV!D:D,MATCH(A754,[2]NV!C:C,0))
                                )
                            )
                        )
                    )
                )
            )
        )
    )
)</f>
        <v>Bi Rod用 自由雲台</v>
      </c>
      <c r="C754" s="4" t="s">
        <v>609</v>
      </c>
      <c r="D754" s="4" t="str">
        <f t="shared" si="33"/>
        <v>Bi Rod用 自由雲台 ｜ 資材倉庫・Irod【11】 ｜ I-1</v>
      </c>
      <c r="E754" s="11" t="str">
        <f t="shared" si="34"/>
        <v>資材倉庫・Irod</v>
      </c>
      <c r="F754" s="12" t="s">
        <v>572</v>
      </c>
      <c r="G754" s="11" t="str">
        <f t="shared" si="35"/>
        <v>11・資材倉庫・IrodI-1</v>
      </c>
    </row>
    <row r="755" spans="1:7" ht="15" customHeight="1" x14ac:dyDescent="0.2">
      <c r="A755" s="14" t="s">
        <v>782</v>
      </c>
      <c r="B755" s="10" t="str">
        <f>IFERROR(
    INDEX([1]FSHIP!B:B,MATCH(A755,[1]FSHIP!A:A,0)),
    IFERROR(
        INDEX([1]釣具商品ship!B:B,MATCH(A755,[1]釣具商品ship!A:A,0)),
        IFERROR(
            INDEX([1]玩具商品ship!B:B,MATCH(A755,[1]玩具商品ship!A:A,0)),
            IFERROR(
                INDEX([1]OEMship!B:B,MATCH(A755,[1]OEMship!A:A,0)),
                IFERROR(
                    INDEX([1]NV6ship!B:B,MATCH(A755,[1]NV6ship!A:A,0)),
                    IFERROR(
                        INDEX([1]NVship!B:B,MATCH(A755,[1]NVship!A:A,0)),
                        IFERROR(
                            INDEX([1]海ship!B:B,MATCH(A755,[1]海ship!A:A,0)),
                            IFERROR(
                                INDEX([1]ｾﾚship!B:B,MATCH(A755,[1]ｾﾚship!A:A,0)),
                                IFERROR(
                                    INDEX([1]ｾﾚﾓﾆｰ商品ship!B:B,MATCH(A755,[1]ｾﾚﾓﾆｰ商品ship!A:A,0)),
                                    INDEX([2]NV!D:D,MATCH(A755,[2]NV!C:C,0))
                                )
                            )
                        )
                    )
                )
            )
        )
    )
)</f>
        <v>大閃光缶バッジ</v>
      </c>
      <c r="C755" s="16" t="s">
        <v>799</v>
      </c>
      <c r="D755" s="4" t="str">
        <f t="shared" si="33"/>
        <v>大閃光缶バッジ ｜ 資材倉庫・2F【X99】 ｜ 2F</v>
      </c>
      <c r="E755" s="11" t="str">
        <f t="shared" si="34"/>
        <v>資材倉庫・2F</v>
      </c>
      <c r="F755" s="12" t="s">
        <v>748</v>
      </c>
      <c r="G755" s="11" t="str">
        <f t="shared" si="35"/>
        <v>X99・資材倉庫・2F2F</v>
      </c>
    </row>
    <row r="756" spans="1:7" ht="15" customHeight="1" x14ac:dyDescent="0.2">
      <c r="A756" s="10" t="s">
        <v>564</v>
      </c>
      <c r="B756" s="10" t="str">
        <f>IFERROR(
    INDEX([1]FSHIP!B:B,MATCH(A756,[1]FSHIP!A:A,0)),
    IFERROR(
        INDEX([1]釣具商品ship!B:B,MATCH(A756,[1]釣具商品ship!A:A,0)),
        IFERROR(
            INDEX([1]玩具商品ship!B:B,MATCH(A756,[1]玩具商品ship!A:A,0)),
            IFERROR(
                INDEX([1]OEMship!B:B,MATCH(A756,[1]OEMship!A:A,0)),
                IFERROR(
                    INDEX([1]NV6ship!B:B,MATCH(A756,[1]NV6ship!A:A,0)),
                    IFERROR(
                        INDEX([1]NVship!B:B,MATCH(A756,[1]NVship!A:A,0)),
                        IFERROR(
                            INDEX([1]海ship!B:B,MATCH(A756,[1]海ship!A:A,0)),
                            IFERROR(
                                INDEX([1]ｾﾚship!B:B,MATCH(A756,[1]ｾﾚship!A:A,0)),
                                IFERROR(
                                    INDEX([1]ｾﾚﾓﾆｰ商品ship!B:B,MATCH(A756,[1]ｾﾚﾓﾆｰ商品ship!A:A,0)),
                                    INDEX([2]NV!D:D,MATCH(A756,[2]NV!C:C,0))
                                )
                            )
                        )
                    )
                )
            )
        )
    )
)</f>
        <v>Bi Rod 7.5mセット用ハードケース</v>
      </c>
      <c r="C756" s="4" t="s">
        <v>562</v>
      </c>
      <c r="D756" s="4" t="str">
        <f t="shared" si="33"/>
        <v>Bi Rod 7.5mセット用ハードケース ｜ 資材倉庫・Irod【11】 ｜ D-1</v>
      </c>
      <c r="E756" s="11" t="str">
        <f t="shared" si="34"/>
        <v>資材倉庫・Irod</v>
      </c>
      <c r="F756" s="12" t="s">
        <v>546</v>
      </c>
      <c r="G756" s="11" t="str">
        <f t="shared" si="35"/>
        <v>11・資材倉庫・IrodD-1</v>
      </c>
    </row>
    <row r="757" spans="1:7" ht="15" customHeight="1" x14ac:dyDescent="0.2">
      <c r="A757" s="10" t="s">
        <v>565</v>
      </c>
      <c r="B757" s="10" t="str">
        <f>IFERROR(
    INDEX([1]FSHIP!B:B,MATCH(A757,[1]FSHIP!A:A,0)),
    IFERROR(
        INDEX([1]釣具商品ship!B:B,MATCH(A757,[1]釣具商品ship!A:A,0)),
        IFERROR(
            INDEX([1]玩具商品ship!B:B,MATCH(A757,[1]玩具商品ship!A:A,0)),
            IFERROR(
                INDEX([1]OEMship!B:B,MATCH(A757,[1]OEMship!A:A,0)),
                IFERROR(
                    INDEX([1]NV6ship!B:B,MATCH(A757,[1]NV6ship!A:A,0)),
                    IFERROR(
                        INDEX([1]NVship!B:B,MATCH(A757,[1]NVship!A:A,0)),
                        IFERROR(
                            INDEX([1]海ship!B:B,MATCH(A757,[1]海ship!A:A,0)),
                            IFERROR(
                                INDEX([1]ｾﾚship!B:B,MATCH(A757,[1]ｾﾚship!A:A,0)),
                                IFERROR(
                                    INDEX([1]ｾﾚﾓﾆｰ商品ship!B:B,MATCH(A757,[1]ｾﾚﾓﾆｰ商品ship!A:A,0)),
                                    INDEX([2]NV!D:D,MATCH(A757,[2]NV!C:C,0))
                                )
                            )
                        )
                    )
                )
            )
        )
    )
)</f>
        <v>Bi Rod 7.5m単品用ハードケース</v>
      </c>
      <c r="C757" s="4" t="s">
        <v>562</v>
      </c>
      <c r="D757" s="4" t="str">
        <f t="shared" si="33"/>
        <v>Bi Rod 7.5m単品用ハードケース ｜ 資材倉庫・Irod【11】 ｜ D-1</v>
      </c>
      <c r="E757" s="11" t="str">
        <f t="shared" si="34"/>
        <v>資材倉庫・Irod</v>
      </c>
      <c r="F757" s="12" t="s">
        <v>546</v>
      </c>
      <c r="G757" s="11" t="str">
        <f t="shared" si="35"/>
        <v>11・資材倉庫・IrodD-1</v>
      </c>
    </row>
    <row r="758" spans="1:7" ht="15" customHeight="1" x14ac:dyDescent="0.2">
      <c r="A758" s="10" t="s">
        <v>593</v>
      </c>
      <c r="B758" s="10" t="str">
        <f>IFERROR(
    INDEX([1]FSHIP!B:B,MATCH(A758,[1]FSHIP!A:A,0)),
    IFERROR(
        INDEX([1]釣具商品ship!B:B,MATCH(A758,[1]釣具商品ship!A:A,0)),
        IFERROR(
            INDEX([1]玩具商品ship!B:B,MATCH(A758,[1]玩具商品ship!A:A,0)),
            IFERROR(
                INDEX([1]OEMship!B:B,MATCH(A758,[1]OEMship!A:A,0)),
                IFERROR(
                    INDEX([1]NV6ship!B:B,MATCH(A758,[1]NV6ship!A:A,0)),
                    IFERROR(
                        INDEX([1]NVship!B:B,MATCH(A758,[1]NVship!A:A,0)),
                        IFERROR(
                            INDEX([1]海ship!B:B,MATCH(A758,[1]海ship!A:A,0)),
                            IFERROR(
                                INDEX([1]ｾﾚship!B:B,MATCH(A758,[1]ｾﾚship!A:A,0)),
                                IFERROR(
                                    INDEX([1]ｾﾚﾓﾆｰ商品ship!B:B,MATCH(A758,[1]ｾﾚﾓﾆｰ商品ship!A:A,0)),
                                    INDEX([2]NV!D:D,MATCH(A758,[2]NV!C:C,0))
                                )
                            )
                        )
                    )
                )
            )
        )
    )
)</f>
        <v>Bi Rod専用ベアリング</v>
      </c>
      <c r="C758" s="4" t="s">
        <v>599</v>
      </c>
      <c r="D758" s="4" t="str">
        <f t="shared" si="33"/>
        <v>Bi Rod専用ベアリング ｜ 資材倉庫・Irod【11】 ｜ G-1</v>
      </c>
      <c r="E758" s="11" t="str">
        <f t="shared" si="34"/>
        <v>資材倉庫・Irod</v>
      </c>
      <c r="F758" s="12" t="s">
        <v>572</v>
      </c>
      <c r="G758" s="11" t="str">
        <f t="shared" si="35"/>
        <v>11・資材倉庫・IrodG-1</v>
      </c>
    </row>
    <row r="759" spans="1:7" ht="15" customHeight="1" x14ac:dyDescent="0.2">
      <c r="A759" s="10" t="s">
        <v>567</v>
      </c>
      <c r="B759" s="10" t="str">
        <f>IFERROR(
    INDEX([1]FSHIP!B:B,MATCH(A759,[1]FSHIP!A:A,0)),
    IFERROR(
        INDEX([1]釣具商品ship!B:B,MATCH(A759,[1]釣具商品ship!A:A,0)),
        IFERROR(
            INDEX([1]玩具商品ship!B:B,MATCH(A759,[1]玩具商品ship!A:A,0)),
            IFERROR(
                INDEX([1]OEMship!B:B,MATCH(A759,[1]OEMship!A:A,0)),
                IFERROR(
                    INDEX([1]NV6ship!B:B,MATCH(A759,[1]NV6ship!A:A,0)),
                    IFERROR(
                        INDEX([1]NVship!B:B,MATCH(A759,[1]NVship!A:A,0)),
                        IFERROR(
                            INDEX([1]海ship!B:B,MATCH(A759,[1]海ship!A:A,0)),
                            IFERROR(
                                INDEX([1]ｾﾚship!B:B,MATCH(A759,[1]ｾﾚship!A:A,0)),
                                IFERROR(
                                    INDEX([1]ｾﾚﾓﾆｰ商品ship!B:B,MATCH(A759,[1]ｾﾚﾓﾆｰ商品ship!A:A,0)),
                                    INDEX([2]NV!D:D,MATCH(A759,[2]NV!C:C,0))
                                )
                            )
                        )
                    )
                )
            )
        )
    )
)</f>
        <v>Bi Rod 11500用ハードケース    V06994より商品コード変更</v>
      </c>
      <c r="C759" s="4" t="s">
        <v>562</v>
      </c>
      <c r="D759" s="4" t="str">
        <f t="shared" si="33"/>
        <v>Bi Rod 11500用ハードケース    V06994より商品コード変更 ｜ 資材倉庫・Irod【11】 ｜ D-1</v>
      </c>
      <c r="E759" s="11" t="str">
        <f t="shared" si="34"/>
        <v>資材倉庫・Irod</v>
      </c>
      <c r="F759" s="12" t="s">
        <v>546</v>
      </c>
      <c r="G759" s="11" t="str">
        <f t="shared" si="35"/>
        <v>11・資材倉庫・IrodD-1</v>
      </c>
    </row>
    <row r="760" spans="1:7" ht="15" customHeight="1" x14ac:dyDescent="0.2">
      <c r="A760" s="10" t="s">
        <v>604</v>
      </c>
      <c r="B760" s="10" t="str">
        <f>IFERROR(
    INDEX([1]FSHIP!B:B,MATCH(A760,[1]FSHIP!A:A,0)),
    IFERROR(
        INDEX([1]釣具商品ship!B:B,MATCH(A760,[1]釣具商品ship!A:A,0)),
        IFERROR(
            INDEX([1]玩具商品ship!B:B,MATCH(A760,[1]玩具商品ship!A:A,0)),
            IFERROR(
                INDEX([1]OEMship!B:B,MATCH(A760,[1]OEMship!A:A,0)),
                IFERROR(
                    INDEX([1]NV6ship!B:B,MATCH(A760,[1]NV6ship!A:A,0)),
                    IFERROR(
                        INDEX([1]NVship!B:B,MATCH(A760,[1]NVship!A:A,0)),
                        IFERROR(
                            INDEX([1]海ship!B:B,MATCH(A760,[1]海ship!A:A,0)),
                            IFERROR(
                                INDEX([1]ｾﾚship!B:B,MATCH(A760,[1]ｾﾚship!A:A,0)),
                                IFERROR(
                                    INDEX([1]ｾﾚﾓﾆｰ商品ship!B:B,MATCH(A760,[1]ｾﾚﾓﾆｰ商品ship!A:A,0)),
                                    INDEX([2]NV!D:D,MATCH(A760,[2]NV!C:C,0))
                                )
                            )
                        )
                    )
                )
            )
        )
    )
)</f>
        <v>Bi Rod 6G-4500用ハードケース 　  V07028より商品コード変更</v>
      </c>
      <c r="C760" s="4" t="s">
        <v>573</v>
      </c>
      <c r="D760" s="4" t="str">
        <f t="shared" si="33"/>
        <v>Bi Rod 6G-4500用ハードケース 　  V07028より商品コード変更 ｜ 資材倉庫・Irod【11】 ｜ F-1</v>
      </c>
      <c r="E760" s="11" t="str">
        <f t="shared" si="34"/>
        <v>資材倉庫・Irod</v>
      </c>
      <c r="F760" s="12" t="s">
        <v>572</v>
      </c>
      <c r="G760" s="11" t="str">
        <f t="shared" si="35"/>
        <v>11・資材倉庫・IrodF-1</v>
      </c>
    </row>
    <row r="761" spans="1:7" ht="15" customHeight="1" x14ac:dyDescent="0.2">
      <c r="A761" s="10" t="s">
        <v>605</v>
      </c>
      <c r="B761" s="10" t="str">
        <f>IFERROR(
    INDEX([1]FSHIP!B:B,MATCH(A761,[1]FSHIP!A:A,0)),
    IFERROR(
        INDEX([1]釣具商品ship!B:B,MATCH(A761,[1]釣具商品ship!A:A,0)),
        IFERROR(
            INDEX([1]玩具商品ship!B:B,MATCH(A761,[1]玩具商品ship!A:A,0)),
            IFERROR(
                INDEX([1]OEMship!B:B,MATCH(A761,[1]OEMship!A:A,0)),
                IFERROR(
                    INDEX([1]NV6ship!B:B,MATCH(A761,[1]NV6ship!A:A,0)),
                    IFERROR(
                        INDEX([1]NVship!B:B,MATCH(A761,[1]NVship!A:A,0)),
                        IFERROR(
                            INDEX([1]海ship!B:B,MATCH(A761,[1]海ship!A:A,0)),
                            IFERROR(
                                INDEX([1]ｾﾚship!B:B,MATCH(A761,[1]ｾﾚship!A:A,0)),
                                IFERROR(
                                    INDEX([1]ｾﾚﾓﾆｰ商品ship!B:B,MATCH(A761,[1]ｾﾚﾓﾆｰ商品ship!A:A,0)),
                                    INDEX([2]NV!D:D,MATCH(A761,[2]NV!C:C,0))
                                )
                            )
                        )
                    )
                )
            )
        )
    )
)</f>
        <v>Bi Rod 4500ｾｯﾄ用ﾊｰﾄﾞｹｰｽ   V07034より商品コード変更</v>
      </c>
      <c r="C761" s="4" t="s">
        <v>573</v>
      </c>
      <c r="D761" s="4" t="str">
        <f t="shared" si="33"/>
        <v>Bi Rod 4500ｾｯﾄ用ﾊｰﾄﾞｹｰｽ   V07034より商品コード変更 ｜ 資材倉庫・Irod【11】 ｜ F-1</v>
      </c>
      <c r="E761" s="11" t="str">
        <f t="shared" si="34"/>
        <v>資材倉庫・Irod</v>
      </c>
      <c r="F761" s="12" t="s">
        <v>572</v>
      </c>
      <c r="G761" s="11" t="str">
        <f t="shared" si="35"/>
        <v>11・資材倉庫・IrodF-1</v>
      </c>
    </row>
    <row r="762" spans="1:7" ht="15" customHeight="1" x14ac:dyDescent="0.2">
      <c r="A762" s="10" t="s">
        <v>623</v>
      </c>
      <c r="B762" s="10" t="str">
        <f>IFERROR(
    INDEX([1]FSHIP!B:B,MATCH(A762,[1]FSHIP!A:A,0)),
    IFERROR(
        INDEX([1]釣具商品ship!B:B,MATCH(A762,[1]釣具商品ship!A:A,0)),
        IFERROR(
            INDEX([1]玩具商品ship!B:B,MATCH(A762,[1]玩具商品ship!A:A,0)),
            IFERROR(
                INDEX([1]OEMship!B:B,MATCH(A762,[1]OEMship!A:A,0)),
                IFERROR(
                    INDEX([1]NV6ship!B:B,MATCH(A762,[1]NV6ship!A:A,0)),
                    IFERROR(
                        INDEX([1]NVship!B:B,MATCH(A762,[1]NVship!A:A,0)),
                        IFERROR(
                            INDEX([1]海ship!B:B,MATCH(A762,[1]海ship!A:A,0)),
                            IFERROR(
                                INDEX([1]ｾﾚship!B:B,MATCH(A762,[1]ｾﾚship!A:A,0)),
                                IFERROR(
                                    INDEX([1]ｾﾚﾓﾆｰ商品ship!B:B,MATCH(A762,[1]ｾﾚﾓﾆｰ商品ship!A:A,0)),
                                    INDEX([2]NV!D:D,MATCH(A762,[2]NV!C:C,0))
                                )
                            )
                        )
                    )
                )
            )
        )
    )
)</f>
        <v>Bi Rod専用三脚ネジ</v>
      </c>
      <c r="C762" s="4" t="s">
        <v>621</v>
      </c>
      <c r="D762" s="4" t="str">
        <f t="shared" si="33"/>
        <v>Bi Rod専用三脚ネジ ｜ 資材倉庫・Irod【11】 ｜ H-1</v>
      </c>
      <c r="E762" s="11" t="str">
        <f t="shared" si="34"/>
        <v>資材倉庫・Irod</v>
      </c>
      <c r="F762" s="12" t="s">
        <v>572</v>
      </c>
      <c r="G762" s="11" t="str">
        <f t="shared" si="35"/>
        <v>11・資材倉庫・IrodH-1</v>
      </c>
    </row>
    <row r="763" spans="1:7" ht="15" customHeight="1" x14ac:dyDescent="0.2">
      <c r="A763" s="10" t="s">
        <v>626</v>
      </c>
      <c r="B763" s="10" t="str">
        <f>IFERROR(
    INDEX([1]FSHIP!B:B,MATCH(A763,[1]FSHIP!A:A,0)),
    IFERROR(
        INDEX([1]釣具商品ship!B:B,MATCH(A763,[1]釣具商品ship!A:A,0)),
        IFERROR(
            INDEX([1]玩具商品ship!B:B,MATCH(A763,[1]玩具商品ship!A:A,0)),
            IFERROR(
                INDEX([1]OEMship!B:B,MATCH(A763,[1]OEMship!A:A,0)),
                IFERROR(
                    INDEX([1]NV6ship!B:B,MATCH(A763,[1]NV6ship!A:A,0)),
                    IFERROR(
                        INDEX([1]NVship!B:B,MATCH(A763,[1]NVship!A:A,0)),
                        IFERROR(
                            INDEX([1]海ship!B:B,MATCH(A763,[1]海ship!A:A,0)),
                            IFERROR(
                                INDEX([1]ｾﾚship!B:B,MATCH(A763,[1]ｾﾚship!A:A,0)),
                                IFERROR(
                                    INDEX([1]ｾﾚﾓﾆｰ商品ship!B:B,MATCH(A763,[1]ｾﾚﾓﾆｰ商品ship!A:A,0)),
                                    INDEX([2]NV!D:D,MATCH(A763,[2]NV!C:C,0))
                                )
                            )
                        )
                    )
                )
            )
        )
    )
)</f>
        <v>Bi Rod用リング＆ロープ</v>
      </c>
      <c r="C763" s="4" t="s">
        <v>621</v>
      </c>
      <c r="D763" s="4" t="str">
        <f t="shared" si="33"/>
        <v>Bi Rod用リング＆ロープ ｜ 資材倉庫・Irod【11】 ｜ H-1</v>
      </c>
      <c r="E763" s="11" t="str">
        <f t="shared" si="34"/>
        <v>資材倉庫・Irod</v>
      </c>
      <c r="F763" s="12" t="s">
        <v>572</v>
      </c>
      <c r="G763" s="11" t="str">
        <f t="shared" si="35"/>
        <v>11・資材倉庫・IrodH-1</v>
      </c>
    </row>
    <row r="764" spans="1:7" ht="15" customHeight="1" x14ac:dyDescent="0.2">
      <c r="A764" s="10" t="s">
        <v>628</v>
      </c>
      <c r="B764" s="10" t="str">
        <f>IFERROR(
    INDEX([1]FSHIP!B:B,MATCH(A764,[1]FSHIP!A:A,0)),
    IFERROR(
        INDEX([1]釣具商品ship!B:B,MATCH(A764,[1]釣具商品ship!A:A,0)),
        IFERROR(
            INDEX([1]玩具商品ship!B:B,MATCH(A764,[1]玩具商品ship!A:A,0)),
            IFERROR(
                INDEX([1]OEMship!B:B,MATCH(A764,[1]OEMship!A:A,0)),
                IFERROR(
                    INDEX([1]NV6ship!B:B,MATCH(A764,[1]NV6ship!A:A,0)),
                    IFERROR(
                        INDEX([1]NVship!B:B,MATCH(A764,[1]NVship!A:A,0)),
                        IFERROR(
                            INDEX([1]海ship!B:B,MATCH(A764,[1]海ship!A:A,0)),
                            IFERROR(
                                INDEX([1]ｾﾚship!B:B,MATCH(A764,[1]ｾﾚship!A:A,0)),
                                IFERROR(
                                    INDEX([1]ｾﾚﾓﾆｰ商品ship!B:B,MATCH(A764,[1]ｾﾚﾓﾆｰ商品ship!A:A,0)),
                                    INDEX([2]NV!D:D,MATCH(A764,[2]NV!C:C,0))
                                )
                            )
                        )
                    )
                )
            )
        )
    )
)</f>
        <v>Bi水タンク10L</v>
      </c>
      <c r="C764" s="4" t="s">
        <v>621</v>
      </c>
      <c r="D764" s="4" t="str">
        <f t="shared" si="33"/>
        <v>Bi水タンク10L ｜ 資材倉庫・Irod【11】 ｜ H-1</v>
      </c>
      <c r="E764" s="11" t="str">
        <f t="shared" si="34"/>
        <v>資材倉庫・Irod</v>
      </c>
      <c r="F764" s="12" t="s">
        <v>572</v>
      </c>
      <c r="G764" s="11" t="str">
        <f t="shared" si="35"/>
        <v>11・資材倉庫・IrodH-1</v>
      </c>
    </row>
    <row r="765" spans="1:7" ht="15" customHeight="1" x14ac:dyDescent="0.2">
      <c r="A765" s="10" t="s">
        <v>600</v>
      </c>
      <c r="B765" s="10" t="str">
        <f>IFERROR(
    INDEX([1]FSHIP!B:B,MATCH(A765,[1]FSHIP!A:A,0)),
    IFERROR(
        INDEX([1]釣具商品ship!B:B,MATCH(A765,[1]釣具商品ship!A:A,0)),
        IFERROR(
            INDEX([1]玩具商品ship!B:B,MATCH(A765,[1]玩具商品ship!A:A,0)),
            IFERROR(
                INDEX([1]OEMship!B:B,MATCH(A765,[1]OEMship!A:A,0)),
                IFERROR(
                    INDEX([1]NV6ship!B:B,MATCH(A765,[1]NV6ship!A:A,0)),
                    IFERROR(
                        INDEX([1]NVship!B:B,MATCH(A765,[1]NVship!A:A,0)),
                        IFERROR(
                            INDEX([1]海ship!B:B,MATCH(A765,[1]海ship!A:A,0)),
                            IFERROR(
                                INDEX([1]ｾﾚship!B:B,MATCH(A765,[1]ｾﾚship!A:A,0)),
                                IFERROR(
                                    INDEX([1]ｾﾚﾓﾆｰ商品ship!B:B,MATCH(A765,[1]ｾﾚﾓﾆｰ商品ship!A:A,0)),
                                    INDEX([2]NV!D:D,MATCH(A765,[2]NV!C:C,0))
                                )
                            )
                        )
                    )
                )
            )
        )
    )
)</f>
        <v>Bi Rod 11500 専用三脚</v>
      </c>
      <c r="C765" s="4" t="s">
        <v>573</v>
      </c>
      <c r="D765" s="4" t="str">
        <f t="shared" si="33"/>
        <v>Bi Rod 11500 専用三脚 ｜ 資材倉庫・Irod【11】 ｜ F-1</v>
      </c>
      <c r="E765" s="11" t="str">
        <f t="shared" si="34"/>
        <v>資材倉庫・Irod</v>
      </c>
      <c r="F765" s="12" t="s">
        <v>572</v>
      </c>
      <c r="G765" s="11" t="str">
        <f t="shared" si="35"/>
        <v>11・資材倉庫・IrodF-1</v>
      </c>
    </row>
    <row r="766" spans="1:7" ht="15" customHeight="1" x14ac:dyDescent="0.2">
      <c r="A766" s="10" t="s">
        <v>614</v>
      </c>
      <c r="B766" s="10" t="str">
        <f>IFERROR(
    INDEX([1]FSHIP!B:B,MATCH(A766,[1]FSHIP!A:A,0)),
    IFERROR(
        INDEX([1]釣具商品ship!B:B,MATCH(A766,[1]釣具商品ship!A:A,0)),
        IFERROR(
            INDEX([1]玩具商品ship!B:B,MATCH(A766,[1]玩具商品ship!A:A,0)),
            IFERROR(
                INDEX([1]OEMship!B:B,MATCH(A766,[1]OEMship!A:A,0)),
                IFERROR(
                    INDEX([1]NV6ship!B:B,MATCH(A766,[1]NV6ship!A:A,0)),
                    IFERROR(
                        INDEX([1]NVship!B:B,MATCH(A766,[1]NVship!A:A,0)),
                        IFERROR(
                            INDEX([1]海ship!B:B,MATCH(A766,[1]海ship!A:A,0)),
                            IFERROR(
                                INDEX([1]ｾﾚship!B:B,MATCH(A766,[1]ｾﾚship!A:A,0)),
                                IFERROR(
                                    INDEX([1]ｾﾚﾓﾆｰ商品ship!B:B,MATCH(A766,[1]ｾﾚﾓﾆｰ商品ship!A:A,0)),
                                    INDEX([2]NV!D:D,MATCH(A766,[2]NV!C:C,0))
                                )
                            )
                        )
                    )
                )
            )
        )
    )
)</f>
        <v>Bi Rod三脚ゴム脚（3個入）</v>
      </c>
      <c r="C766" s="4" t="s">
        <v>609</v>
      </c>
      <c r="D766" s="4" t="str">
        <f t="shared" si="33"/>
        <v>Bi Rod三脚ゴム脚（3個入） ｜ 資材倉庫・Irod【11】 ｜ I-1</v>
      </c>
      <c r="E766" s="11" t="str">
        <f t="shared" si="34"/>
        <v>資材倉庫・Irod</v>
      </c>
      <c r="F766" s="12" t="s">
        <v>572</v>
      </c>
      <c r="G766" s="11" t="str">
        <f t="shared" si="35"/>
        <v>11・資材倉庫・IrodI-1</v>
      </c>
    </row>
    <row r="767" spans="1:7" ht="15" customHeight="1" x14ac:dyDescent="0.2">
      <c r="A767" s="10" t="s">
        <v>620</v>
      </c>
      <c r="B767" s="10" t="str">
        <f>IFERROR(
    INDEX([1]FSHIP!B:B,MATCH(A767,[1]FSHIP!A:A,0)),
    IFERROR(
        INDEX([1]釣具商品ship!B:B,MATCH(A767,[1]釣具商品ship!A:A,0)),
        IFERROR(
            INDEX([1]玩具商品ship!B:B,MATCH(A767,[1]玩具商品ship!A:A,0)),
            IFERROR(
                INDEX([1]OEMship!B:B,MATCH(A767,[1]OEMship!A:A,0)),
                IFERROR(
                    INDEX([1]NV6ship!B:B,MATCH(A767,[1]NV6ship!A:A,0)),
                    IFERROR(
                        INDEX([1]NVship!B:B,MATCH(A767,[1]NVship!A:A,0)),
                        IFERROR(
                            INDEX([1]海ship!B:B,MATCH(A767,[1]海ship!A:A,0)),
                            IFERROR(
                                INDEX([1]ｾﾚship!B:B,MATCH(A767,[1]ｾﾚship!A:A,0)),
                                IFERROR(
                                    INDEX([1]ｾﾚﾓﾆｰ商品ship!B:B,MATCH(A767,[1]ｾﾚﾓﾆｰ商品ship!A:A,0)),
                                    INDEX([2]NV!D:D,MATCH(A767,[2]NV!C:C,0))
                                )
                            )
                        )
                    )
                )
            )
        )
    )
)</f>
        <v>Bi Rod 11.5m専用フットペダル</v>
      </c>
      <c r="C767" s="4" t="s">
        <v>609</v>
      </c>
      <c r="D767" s="4" t="str">
        <f t="shared" si="33"/>
        <v>Bi Rod 11.5m専用フットペダル ｜ 資材倉庫・Irod【11】 ｜ I-1</v>
      </c>
      <c r="E767" s="11" t="str">
        <f t="shared" si="34"/>
        <v>資材倉庫・Irod</v>
      </c>
      <c r="F767" s="12" t="s">
        <v>572</v>
      </c>
      <c r="G767" s="11" t="str">
        <f t="shared" si="35"/>
        <v>11・資材倉庫・IrodI-1</v>
      </c>
    </row>
    <row r="768" spans="1:7" ht="15" customHeight="1" x14ac:dyDescent="0.2">
      <c r="A768" s="10" t="s">
        <v>631</v>
      </c>
      <c r="B768" s="10" t="str">
        <f>IFERROR(
    INDEX([1]FSHIP!B:B,MATCH(A768,[1]FSHIP!A:A,0)),
    IFERROR(
        INDEX([1]釣具商品ship!B:B,MATCH(A768,[1]釣具商品ship!A:A,0)),
        IFERROR(
            INDEX([1]玩具商品ship!B:B,MATCH(A768,[1]玩具商品ship!A:A,0)),
            IFERROR(
                INDEX([1]OEMship!B:B,MATCH(A768,[1]OEMship!A:A,0)),
                IFERROR(
                    INDEX([1]NV6ship!B:B,MATCH(A768,[1]NV6ship!A:A,0)),
                    IFERROR(
                        INDEX([1]NVship!B:B,MATCH(A768,[1]NVship!A:A,0)),
                        IFERROR(
                            INDEX([1]海ship!B:B,MATCH(A768,[1]海ship!A:A,0)),
                            IFERROR(
                                INDEX([1]ｾﾚship!B:B,MATCH(A768,[1]ｾﾚship!A:A,0)),
                                IFERROR(
                                    INDEX([1]ｾﾚﾓﾆｰ商品ship!B:B,MATCH(A768,[1]ｾﾚﾓﾆｰ商品ship!A:A,0)),
                                    INDEX([2]NV!D:D,MATCH(A768,[2]NV!C:C,0))
                                )
                            )
                        )
                    )
                )
            )
        )
    )
)</f>
        <v>Bi Boat Fishingnet</v>
      </c>
      <c r="C768" s="4" t="s">
        <v>630</v>
      </c>
      <c r="D768" s="4" t="str">
        <f t="shared" si="33"/>
        <v>Bi Boat Fishingnet ｜ 資材倉庫・Irod【11】 ｜ J-1</v>
      </c>
      <c r="E768" s="11" t="str">
        <f t="shared" si="34"/>
        <v>資材倉庫・Irod</v>
      </c>
      <c r="F768" s="12" t="s">
        <v>572</v>
      </c>
      <c r="G768" s="11" t="str">
        <f t="shared" si="35"/>
        <v>11・資材倉庫・IrodJ-1</v>
      </c>
    </row>
    <row r="769" spans="1:7" ht="15" customHeight="1" x14ac:dyDescent="0.2">
      <c r="A769" s="10" t="s">
        <v>178</v>
      </c>
      <c r="B769" s="10" t="str">
        <f>IFERROR(
    INDEX([1]FSHIP!B:B,MATCH(A769,[1]FSHIP!A:A,0)),
    IFERROR(
        INDEX([1]釣具商品ship!B:B,MATCH(A769,[1]釣具商品ship!A:A,0)),
        IFERROR(
            INDEX([1]玩具商品ship!B:B,MATCH(A769,[1]玩具商品ship!A:A,0)),
            IFERROR(
                INDEX([1]OEMship!B:B,MATCH(A769,[1]OEMship!A:A,0)),
                IFERROR(
                    INDEX([1]NV6ship!B:B,MATCH(A769,[1]NV6ship!A:A,0)),
                    IFERROR(
                        INDEX([1]NVship!B:B,MATCH(A769,[1]NVship!A:A,0)),
                        IFERROR(
                            INDEX([1]海ship!B:B,MATCH(A769,[1]海ship!A:A,0)),
                            IFERROR(
                                INDEX([1]ｾﾚship!B:B,MATCH(A769,[1]ｾﾚship!A:A,0)),
                                IFERROR(
                                    INDEX([1]ｾﾚﾓﾆｰ商品ship!B:B,MATCH(A769,[1]ｾﾚﾓﾆｰ商品ship!A:A,0)),
                                    INDEX([2]NV!D:D,MATCH(A769,[2]NV!C:C,0))
                                )
                            )
                        )
                    )
                )
            )
        )
    )
)</f>
        <v>Bi SQUID SHOOTER</v>
      </c>
      <c r="C769" s="4" t="s">
        <v>0</v>
      </c>
      <c r="D769" s="10" t="str">
        <f t="shared" si="33"/>
        <v>Bi SQUID SHOOTER ｜ 1F釣具部屋【04】 ｜ F</v>
      </c>
      <c r="E769" s="11" t="str">
        <f t="shared" si="34"/>
        <v>1F釣具部屋</v>
      </c>
      <c r="F769" s="12" t="s">
        <v>21</v>
      </c>
      <c r="G769" s="11" t="str">
        <f t="shared" si="35"/>
        <v>04・1F釣具部屋F</v>
      </c>
    </row>
    <row r="770" spans="1:7" ht="15" customHeight="1" x14ac:dyDescent="0.2">
      <c r="A770" s="10" t="s">
        <v>584</v>
      </c>
      <c r="B770" s="10" t="str">
        <f>IFERROR(
    INDEX([1]FSHIP!B:B,MATCH(A770,[1]FSHIP!A:A,0)),
    IFERROR(
        INDEX([1]釣具商品ship!B:B,MATCH(A770,[1]釣具商品ship!A:A,0)),
        IFERROR(
            INDEX([1]玩具商品ship!B:B,MATCH(A770,[1]玩具商品ship!A:A,0)),
            IFERROR(
                INDEX([1]OEMship!B:B,MATCH(A770,[1]OEMship!A:A,0)),
                IFERROR(
                    INDEX([1]NV6ship!B:B,MATCH(A770,[1]NV6ship!A:A,0)),
                    IFERROR(
                        INDEX([1]NVship!B:B,MATCH(A770,[1]NVship!A:A,0)),
                        IFERROR(
                            INDEX([1]海ship!B:B,MATCH(A770,[1]海ship!A:A,0)),
                            IFERROR(
                                INDEX([1]ｾﾚship!B:B,MATCH(A770,[1]ｾﾚship!A:A,0)),
                                IFERROR(
                                    INDEX([1]ｾﾚﾓﾆｰ商品ship!B:B,MATCH(A770,[1]ｾﾚﾓﾆｰ商品ship!A:A,0)),
                                    INDEX([2]NV!D:D,MATCH(A770,[2]NV!C:C,0))
                                )
                            )
                        )
                    )
                )
            )
        )
    )
)</f>
        <v>Bi Rod 2000単品用ハードケース</v>
      </c>
      <c r="C770" s="4" t="s">
        <v>599</v>
      </c>
      <c r="D770" s="4" t="str">
        <f t="shared" ref="D770:D822" si="36">B770&amp;" ｜ "&amp;E770&amp;"【"&amp;F770&amp;"】 ｜ "&amp;C770</f>
        <v>Bi Rod 2000単品用ハードケース ｜ 資材倉庫・Irod【11】 ｜ G-1</v>
      </c>
      <c r="E770" s="11" t="str">
        <f t="shared" ref="E770:E819" si="37">INDEX(K:K, MATCH(F770, J:J, 0))</f>
        <v>資材倉庫・Irod</v>
      </c>
      <c r="F770" s="12" t="s">
        <v>572</v>
      </c>
      <c r="G770" s="11" t="str">
        <f t="shared" ref="G770:G819" si="38">F770&amp;"・"&amp;E770&amp;C770</f>
        <v>11・資材倉庫・IrodG-1</v>
      </c>
    </row>
    <row r="771" spans="1:7" ht="15" customHeight="1" x14ac:dyDescent="0.2">
      <c r="A771" s="10" t="s">
        <v>603</v>
      </c>
      <c r="B771" s="10" t="str">
        <f>IFERROR(
    INDEX([1]FSHIP!B:B,MATCH(A771,[1]FSHIP!A:A,0)),
    IFERROR(
        INDEX([1]釣具商品ship!B:B,MATCH(A771,[1]釣具商品ship!A:A,0)),
        IFERROR(
            INDEX([1]玩具商品ship!B:B,MATCH(A771,[1]玩具商品ship!A:A,0)),
            IFERROR(
                INDEX([1]OEMship!B:B,MATCH(A771,[1]OEMship!A:A,0)),
                IFERROR(
                    INDEX([1]NV6ship!B:B,MATCH(A771,[1]NV6ship!A:A,0)),
                    IFERROR(
                        INDEX([1]NVship!B:B,MATCH(A771,[1]NVship!A:A,0)),
                        IFERROR(
                            INDEX([1]海ship!B:B,MATCH(A771,[1]海ship!A:A,0)),
                            IFERROR(
                                INDEX([1]ｾﾚship!B:B,MATCH(A771,[1]ｾﾚship!A:A,0)),
                                IFERROR(
                                    INDEX([1]ｾﾚﾓﾆｰ商品ship!B:B,MATCH(A771,[1]ｾﾚﾓﾆｰ商品ship!A:A,0)),
                                    INDEX([2]NV!D:D,MATCH(A771,[2]NV!C:C,0))
                                )
                            )
                        )
                    )
                )
            )
        )
    )
)</f>
        <v>Bi Rod 2000セット用ハードケース</v>
      </c>
      <c r="C771" s="4" t="s">
        <v>573</v>
      </c>
      <c r="D771" s="4" t="str">
        <f t="shared" si="36"/>
        <v>Bi Rod 2000セット用ハードケース ｜ 資材倉庫・Irod【11】 ｜ F-1</v>
      </c>
      <c r="E771" s="11" t="str">
        <f t="shared" si="37"/>
        <v>資材倉庫・Irod</v>
      </c>
      <c r="F771" s="12" t="s">
        <v>572</v>
      </c>
      <c r="G771" s="11" t="str">
        <f t="shared" si="38"/>
        <v>11・資材倉庫・IrodF-1</v>
      </c>
    </row>
    <row r="772" spans="1:7" ht="15" customHeight="1" x14ac:dyDescent="0.2">
      <c r="A772" s="10" t="s">
        <v>615</v>
      </c>
      <c r="B772" s="10" t="str">
        <f>IFERROR(
    INDEX([1]FSHIP!B:B,MATCH(A772,[1]FSHIP!A:A,0)),
    IFERROR(
        INDEX([1]釣具商品ship!B:B,MATCH(A772,[1]釣具商品ship!A:A,0)),
        IFERROR(
            INDEX([1]玩具商品ship!B:B,MATCH(A772,[1]玩具商品ship!A:A,0)),
            IFERROR(
                INDEX([1]OEMship!B:B,MATCH(A772,[1]OEMship!A:A,0)),
                IFERROR(
                    INDEX([1]NV6ship!B:B,MATCH(A772,[1]NV6ship!A:A,0)),
                    IFERROR(
                        INDEX([1]NVship!B:B,MATCH(A772,[1]NVship!A:A,0)),
                        IFERROR(
                            INDEX([1]海ship!B:B,MATCH(A772,[1]海ship!A:A,0)),
                            IFERROR(
                                INDEX([1]ｾﾚship!B:B,MATCH(A772,[1]ｾﾚship!A:A,0)),
                                IFERROR(
                                    INDEX([1]ｾﾚﾓﾆｰ商品ship!B:B,MATCH(A772,[1]ｾﾚﾓﾆｰ商品ship!A:A,0)),
                                    INDEX([2]NV!D:D,MATCH(A772,[2]NV!C:C,0))
                                )
                            )
                        )
                    )
                )
            )
        )
    )
)</f>
        <v>WL用アタッチメント予備セット</v>
      </c>
      <c r="C772" s="4" t="s">
        <v>609</v>
      </c>
      <c r="D772" s="4" t="str">
        <f t="shared" si="36"/>
        <v>WL用アタッチメント予備セット ｜ 資材倉庫・Irod【11】 ｜ I-1</v>
      </c>
      <c r="E772" s="11" t="str">
        <f t="shared" si="37"/>
        <v>資材倉庫・Irod</v>
      </c>
      <c r="F772" s="12" t="s">
        <v>572</v>
      </c>
      <c r="G772" s="11" t="str">
        <f t="shared" si="38"/>
        <v>11・資材倉庫・IrodI-1</v>
      </c>
    </row>
    <row r="773" spans="1:7" ht="15" customHeight="1" x14ac:dyDescent="0.2">
      <c r="A773" s="10" t="s">
        <v>601</v>
      </c>
      <c r="B773" s="10" t="str">
        <f>IFERROR(
    INDEX([1]FSHIP!B:B,MATCH(A773,[1]FSHIP!A:A,0)),
    IFERROR(
        INDEX([1]釣具商品ship!B:B,MATCH(A773,[1]釣具商品ship!A:A,0)),
        IFERROR(
            INDEX([1]玩具商品ship!B:B,MATCH(A773,[1]玩具商品ship!A:A,0)),
            IFERROR(
                INDEX([1]OEMship!B:B,MATCH(A773,[1]OEMship!A:A,0)),
                IFERROR(
                    INDEX([1]NV6ship!B:B,MATCH(A773,[1]NV6ship!A:A,0)),
                    IFERROR(
                        INDEX([1]NVship!B:B,MATCH(A773,[1]NVship!A:A,0)),
                        IFERROR(
                            INDEX([1]海ship!B:B,MATCH(A773,[1]海ship!A:A,0)),
                            IFERROR(
                                INDEX([1]ｾﾚship!B:B,MATCH(A773,[1]ｾﾚship!A:A,0)),
                                IFERROR(
                                    INDEX([1]ｾﾚﾓﾆｰ商品ship!B:B,MATCH(A773,[1]ｾﾚﾓﾆｰ商品ship!A:A,0)),
                                    INDEX([2]NV!D:D,MATCH(A773,[2]NV!C:C,0))
                                )
                            )
                        )
                    )
                )
            )
        )
    )
)</f>
        <v>Bi Rod 10C-11500用エンドキャップ</v>
      </c>
      <c r="C773" s="4" t="s">
        <v>573</v>
      </c>
      <c r="D773" s="4" t="str">
        <f t="shared" si="36"/>
        <v>Bi Rod 10C-11500用エンドキャップ ｜ 資材倉庫・Irod【11】 ｜ F-1</v>
      </c>
      <c r="E773" s="11" t="str">
        <f t="shared" si="37"/>
        <v>資材倉庫・Irod</v>
      </c>
      <c r="F773" s="12" t="s">
        <v>572</v>
      </c>
      <c r="G773" s="11" t="str">
        <f t="shared" si="38"/>
        <v>11・資材倉庫・IrodF-1</v>
      </c>
    </row>
    <row r="774" spans="1:7" ht="15" customHeight="1" x14ac:dyDescent="0.2">
      <c r="A774" s="10" t="s">
        <v>601</v>
      </c>
      <c r="B774" s="10" t="str">
        <f>IFERROR(
    INDEX([1]FSHIP!B:B,MATCH(A774,[1]FSHIP!A:A,0)),
    IFERROR(
        INDEX([1]釣具商品ship!B:B,MATCH(A774,[1]釣具商品ship!A:A,0)),
        IFERROR(
            INDEX([1]玩具商品ship!B:B,MATCH(A774,[1]玩具商品ship!A:A,0)),
            IFERROR(
                INDEX([1]OEMship!B:B,MATCH(A774,[1]OEMship!A:A,0)),
                IFERROR(
                    INDEX([1]NV6ship!B:B,MATCH(A774,[1]NV6ship!A:A,0)),
                    IFERROR(
                        INDEX([1]NVship!B:B,MATCH(A774,[1]NVship!A:A,0)),
                        IFERROR(
                            INDEX([1]海ship!B:B,MATCH(A774,[1]海ship!A:A,0)),
                            IFERROR(
                                INDEX([1]ｾﾚship!B:B,MATCH(A774,[1]ｾﾚship!A:A,0)),
                                IFERROR(
                                    INDEX([1]ｾﾚﾓﾆｰ商品ship!B:B,MATCH(A774,[1]ｾﾚﾓﾆｰ商品ship!A:A,0)),
                                    INDEX([2]NV!D:D,MATCH(A774,[2]NV!C:C,0))
                                )
                            )
                        )
                    )
                )
            )
        )
    )
)</f>
        <v>Bi Rod 10C-11500用エンドキャップ</v>
      </c>
      <c r="C774" s="4" t="s">
        <v>609</v>
      </c>
      <c r="D774" s="4" t="str">
        <f t="shared" si="36"/>
        <v>Bi Rod 10C-11500用エンドキャップ ｜ 資材倉庫・Irod【11】 ｜ I-1</v>
      </c>
      <c r="E774" s="11" t="str">
        <f t="shared" si="37"/>
        <v>資材倉庫・Irod</v>
      </c>
      <c r="F774" s="12" t="s">
        <v>572</v>
      </c>
      <c r="G774" s="11" t="str">
        <f t="shared" si="38"/>
        <v>11・資材倉庫・IrodI-1</v>
      </c>
    </row>
    <row r="775" spans="1:7" ht="15" customHeight="1" x14ac:dyDescent="0.2">
      <c r="A775" s="10" t="s">
        <v>602</v>
      </c>
      <c r="B775" s="10" t="str">
        <f>IFERROR(
    INDEX([1]FSHIP!B:B,MATCH(A775,[1]FSHIP!A:A,0)),
    IFERROR(
        INDEX([1]釣具商品ship!B:B,MATCH(A775,[1]釣具商品ship!A:A,0)),
        IFERROR(
            INDEX([1]玩具商品ship!B:B,MATCH(A775,[1]玩具商品ship!A:A,0)),
            IFERROR(
                INDEX([1]OEMship!B:B,MATCH(A775,[1]OEMship!A:A,0)),
                IFERROR(
                    INDEX([1]NV6ship!B:B,MATCH(A775,[1]NV6ship!A:A,0)),
                    IFERROR(
                        INDEX([1]NVship!B:B,MATCH(A775,[1]NVship!A:A,0)),
                        IFERROR(
                            INDEX([1]海ship!B:B,MATCH(A775,[1]海ship!A:A,0)),
                            IFERROR(
                                INDEX([1]ｾﾚship!B:B,MATCH(A775,[1]ｾﾚship!A:A,0)),
                                IFERROR(
                                    INDEX([1]ｾﾚﾓﾆｰ商品ship!B:B,MATCH(A775,[1]ｾﾚﾓﾆｰ商品ship!A:A,0)),
                                    INDEX([2]NV!D:D,MATCH(A775,[2]NV!C:C,0))
                                )
                            )
                        )
                    )
                )
            )
        )
    )
)</f>
        <v>Bi Rod 7500専用三脚用ハードケース</v>
      </c>
      <c r="C775" s="4" t="s">
        <v>573</v>
      </c>
      <c r="D775" s="4" t="str">
        <f t="shared" si="36"/>
        <v>Bi Rod 7500専用三脚用ハードケース ｜ 資材倉庫・Irod【11】 ｜ F-1</v>
      </c>
      <c r="E775" s="11" t="str">
        <f t="shared" si="37"/>
        <v>資材倉庫・Irod</v>
      </c>
      <c r="F775" s="12" t="s">
        <v>572</v>
      </c>
      <c r="G775" s="11" t="str">
        <f t="shared" si="38"/>
        <v>11・資材倉庫・IrodF-1</v>
      </c>
    </row>
    <row r="776" spans="1:7" ht="15" customHeight="1" x14ac:dyDescent="0.2">
      <c r="A776" s="10" t="s">
        <v>588</v>
      </c>
      <c r="B776" s="10" t="str">
        <f>IFERROR(
    INDEX([1]FSHIP!B:B,MATCH(A776,[1]FSHIP!A:A,0)),
    IFERROR(
        INDEX([1]釣具商品ship!B:B,MATCH(A776,[1]釣具商品ship!A:A,0)),
        IFERROR(
            INDEX([1]玩具商品ship!B:B,MATCH(A776,[1]玩具商品ship!A:A,0)),
            IFERROR(
                INDEX([1]OEMship!B:B,MATCH(A776,[1]OEMship!A:A,0)),
                IFERROR(
                    INDEX([1]NV6ship!B:B,MATCH(A776,[1]NV6ship!A:A,0)),
                    IFERROR(
                        INDEX([1]NVship!B:B,MATCH(A776,[1]NVship!A:A,0)),
                        IFERROR(
                            INDEX([1]海ship!B:B,MATCH(A776,[1]海ship!A:A,0)),
                            IFERROR(
                                INDEX([1]ｾﾚship!B:B,MATCH(A776,[1]ｾﾚship!A:A,0)),
                                IFERROR(
                                    INDEX([1]ｾﾚﾓﾆｰ商品ship!B:B,MATCH(A776,[1]ｾﾚﾓﾆｰ商品ship!A:A,0)),
                                    INDEX([2]NV!D:D,MATCH(A776,[2]NV!C:C,0))
                                )
                            )
                        )
                    )
                )
            )
        )
    )
)</f>
        <v>Bi インナーライン 2000</v>
      </c>
      <c r="C776" s="4" t="s">
        <v>599</v>
      </c>
      <c r="D776" s="4" t="str">
        <f t="shared" si="36"/>
        <v>Bi インナーライン 2000 ｜ 資材倉庫・Irod【11】 ｜ G-1</v>
      </c>
      <c r="E776" s="11" t="str">
        <f t="shared" si="37"/>
        <v>資材倉庫・Irod</v>
      </c>
      <c r="F776" s="12" t="s">
        <v>572</v>
      </c>
      <c r="G776" s="11" t="str">
        <f t="shared" si="38"/>
        <v>11・資材倉庫・IrodG-1</v>
      </c>
    </row>
    <row r="777" spans="1:7" ht="15" customHeight="1" x14ac:dyDescent="0.2">
      <c r="A777" s="10" t="s">
        <v>587</v>
      </c>
      <c r="B777" s="10" t="str">
        <f>IFERROR(
    INDEX([1]FSHIP!B:B,MATCH(A777,[1]FSHIP!A:A,0)),
    IFERROR(
        INDEX([1]釣具商品ship!B:B,MATCH(A777,[1]釣具商品ship!A:A,0)),
        IFERROR(
            INDEX([1]玩具商品ship!B:B,MATCH(A777,[1]玩具商品ship!A:A,0)),
            IFERROR(
                INDEX([1]OEMship!B:B,MATCH(A777,[1]OEMship!A:A,0)),
                IFERROR(
                    INDEX([1]NV6ship!B:B,MATCH(A777,[1]NV6ship!A:A,0)),
                    IFERROR(
                        INDEX([1]NVship!B:B,MATCH(A777,[1]NVship!A:A,0)),
                        IFERROR(
                            INDEX([1]海ship!B:B,MATCH(A777,[1]海ship!A:A,0)),
                            IFERROR(
                                INDEX([1]ｾﾚship!B:B,MATCH(A777,[1]ｾﾚship!A:A,0)),
                                IFERROR(
                                    INDEX([1]ｾﾚﾓﾆｰ商品ship!B:B,MATCH(A777,[1]ｾﾚﾓﾆｰ商品ship!A:A,0)),
                                    INDEX([2]NV!D:D,MATCH(A777,[2]NV!C:C,0))
                                )
                            )
                        )
                    )
                )
            )
        )
    )
)</f>
        <v>Bi インナーライン 4500</v>
      </c>
      <c r="C777" s="4" t="s">
        <v>599</v>
      </c>
      <c r="D777" s="4" t="str">
        <f t="shared" si="36"/>
        <v>Bi インナーライン 4500 ｜ 資材倉庫・Irod【11】 ｜ G-1</v>
      </c>
      <c r="E777" s="11" t="str">
        <f t="shared" si="37"/>
        <v>資材倉庫・Irod</v>
      </c>
      <c r="F777" s="12" t="s">
        <v>572</v>
      </c>
      <c r="G777" s="11" t="str">
        <f t="shared" si="38"/>
        <v>11・資材倉庫・IrodG-1</v>
      </c>
    </row>
    <row r="778" spans="1:7" ht="15" customHeight="1" x14ac:dyDescent="0.2">
      <c r="A778" s="10" t="s">
        <v>586</v>
      </c>
      <c r="B778" s="10" t="str">
        <f>IFERROR(
    INDEX([1]FSHIP!B:B,MATCH(A778,[1]FSHIP!A:A,0)),
    IFERROR(
        INDEX([1]釣具商品ship!B:B,MATCH(A778,[1]釣具商品ship!A:A,0)),
        IFERROR(
            INDEX([1]玩具商品ship!B:B,MATCH(A778,[1]玩具商品ship!A:A,0)),
            IFERROR(
                INDEX([1]OEMship!B:B,MATCH(A778,[1]OEMship!A:A,0)),
                IFERROR(
                    INDEX([1]NV6ship!B:B,MATCH(A778,[1]NV6ship!A:A,0)),
                    IFERROR(
                        INDEX([1]NVship!B:B,MATCH(A778,[1]NVship!A:A,0)),
                        IFERROR(
                            INDEX([1]海ship!B:B,MATCH(A778,[1]海ship!A:A,0)),
                            IFERROR(
                                INDEX([1]ｾﾚship!B:B,MATCH(A778,[1]ｾﾚship!A:A,0)),
                                IFERROR(
                                    INDEX([1]ｾﾚﾓﾆｰ商品ship!B:B,MATCH(A778,[1]ｾﾚﾓﾆｰ商品ship!A:A,0)),
                                    INDEX([2]NV!D:D,MATCH(A778,[2]NV!C:C,0))
                                )
                            )
                        )
                    )
                )
            )
        )
    )
)</f>
        <v>Bi インナーライン 7500</v>
      </c>
      <c r="C778" s="4" t="s">
        <v>599</v>
      </c>
      <c r="D778" s="4" t="str">
        <f t="shared" si="36"/>
        <v>Bi インナーライン 7500 ｜ 資材倉庫・Irod【11】 ｜ G-1</v>
      </c>
      <c r="E778" s="11" t="str">
        <f t="shared" si="37"/>
        <v>資材倉庫・Irod</v>
      </c>
      <c r="F778" s="12" t="s">
        <v>572</v>
      </c>
      <c r="G778" s="11" t="str">
        <f t="shared" si="38"/>
        <v>11・資材倉庫・IrodG-1</v>
      </c>
    </row>
    <row r="779" spans="1:7" ht="15" customHeight="1" x14ac:dyDescent="0.2">
      <c r="A779" s="10" t="s">
        <v>585</v>
      </c>
      <c r="B779" s="10" t="str">
        <f>IFERROR(
    INDEX([1]FSHIP!B:B,MATCH(A779,[1]FSHIP!A:A,0)),
    IFERROR(
        INDEX([1]釣具商品ship!B:B,MATCH(A779,[1]釣具商品ship!A:A,0)),
        IFERROR(
            INDEX([1]玩具商品ship!B:B,MATCH(A779,[1]玩具商品ship!A:A,0)),
            IFERROR(
                INDEX([1]OEMship!B:B,MATCH(A779,[1]OEMship!A:A,0)),
                IFERROR(
                    INDEX([1]NV6ship!B:B,MATCH(A779,[1]NV6ship!A:A,0)),
                    IFERROR(
                        INDEX([1]NVship!B:B,MATCH(A779,[1]NVship!A:A,0)),
                        IFERROR(
                            INDEX([1]海ship!B:B,MATCH(A779,[1]海ship!A:A,0)),
                            IFERROR(
                                INDEX([1]ｾﾚship!B:B,MATCH(A779,[1]ｾﾚship!A:A,0)),
                                IFERROR(
                                    INDEX([1]ｾﾚﾓﾆｰ商品ship!B:B,MATCH(A779,[1]ｾﾚﾓﾆｰ商品ship!A:A,0)),
                                    INDEX([2]NV!D:D,MATCH(A779,[2]NV!C:C,0))
                                )
                            )
                        )
                    )
                )
            )
        )
    )
)</f>
        <v>Bi インナーライン 11500</v>
      </c>
      <c r="C779" s="4" t="s">
        <v>599</v>
      </c>
      <c r="D779" s="4" t="str">
        <f t="shared" si="36"/>
        <v>Bi インナーライン 11500 ｜ 資材倉庫・Irod【11】 ｜ G-1</v>
      </c>
      <c r="E779" s="11" t="str">
        <f t="shared" si="37"/>
        <v>資材倉庫・Irod</v>
      </c>
      <c r="F779" s="12" t="s">
        <v>572</v>
      </c>
      <c r="G779" s="11" t="str">
        <f t="shared" si="38"/>
        <v>11・資材倉庫・IrodG-1</v>
      </c>
    </row>
    <row r="780" spans="1:7" ht="15" customHeight="1" x14ac:dyDescent="0.2">
      <c r="A780" s="10" t="s">
        <v>632</v>
      </c>
      <c r="B780" s="10" t="str">
        <f>IFERROR(
    INDEX([1]FSHIP!B:B,MATCH(A780,[1]FSHIP!A:A,0)),
    IFERROR(
        INDEX([1]釣具商品ship!B:B,MATCH(A780,[1]釣具商品ship!A:A,0)),
        IFERROR(
            INDEX([1]玩具商品ship!B:B,MATCH(A780,[1]玩具商品ship!A:A,0)),
            IFERROR(
                INDEX([1]OEMship!B:B,MATCH(A780,[1]OEMship!A:A,0)),
                IFERROR(
                    INDEX([1]NV6ship!B:B,MATCH(A780,[1]NV6ship!A:A,0)),
                    IFERROR(
                        INDEX([1]NVship!B:B,MATCH(A780,[1]NVship!A:A,0)),
                        IFERROR(
                            INDEX([1]海ship!B:B,MATCH(A780,[1]海ship!A:A,0)),
                            IFERROR(
                                INDEX([1]ｾﾚship!B:B,MATCH(A780,[1]ｾﾚship!A:A,0)),
                                IFERROR(
                                    INDEX([1]ｾﾚﾓﾆｰ商品ship!B:B,MATCH(A780,[1]ｾﾚﾓﾆｰ商品ship!A:A,0)),
                                    INDEX([2]NV!D:D,MATCH(A780,[2]NV!C:C,0))
                                )
                            )
                        )
                    )
                )
            )
        )
    )
)</f>
        <v>11500用Y字腰当てベルトパーツ</v>
      </c>
      <c r="C780" s="4" t="s">
        <v>630</v>
      </c>
      <c r="D780" s="4" t="str">
        <f t="shared" si="36"/>
        <v>11500用Y字腰当てベルトパーツ ｜ 資材倉庫・Irod【11】 ｜ J-1</v>
      </c>
      <c r="E780" s="11" t="str">
        <f t="shared" si="37"/>
        <v>資材倉庫・Irod</v>
      </c>
      <c r="F780" s="12" t="s">
        <v>572</v>
      </c>
      <c r="G780" s="11" t="str">
        <f t="shared" si="38"/>
        <v>11・資材倉庫・IrodJ-1</v>
      </c>
    </row>
    <row r="781" spans="1:7" ht="15" customHeight="1" x14ac:dyDescent="0.2">
      <c r="A781" s="10" t="s">
        <v>594</v>
      </c>
      <c r="B781" s="10" t="str">
        <f>IFERROR(
    INDEX([1]FSHIP!B:B,MATCH(A781,[1]FSHIP!A:A,0)),
    IFERROR(
        INDEX([1]釣具商品ship!B:B,MATCH(A781,[1]釣具商品ship!A:A,0)),
        IFERROR(
            INDEX([1]玩具商品ship!B:B,MATCH(A781,[1]玩具商品ship!A:A,0)),
            IFERROR(
                INDEX([1]OEMship!B:B,MATCH(A781,[1]OEMship!A:A,0)),
                IFERROR(
                    INDEX([1]NV6ship!B:B,MATCH(A781,[1]NV6ship!A:A,0)),
                    IFERROR(
                        INDEX([1]NVship!B:B,MATCH(A781,[1]NVship!A:A,0)),
                        IFERROR(
                            INDEX([1]海ship!B:B,MATCH(A781,[1]海ship!A:A,0)),
                            IFERROR(
                                INDEX([1]ｾﾚship!B:B,MATCH(A781,[1]ｾﾚship!A:A,0)),
                                IFERROR(
                                    INDEX([1]ｾﾚﾓﾆｰ商品ship!B:B,MATCH(A781,[1]ｾﾚﾓﾆｰ商品ship!A:A,0)),
                                    INDEX([2]NV!D:D,MATCH(A781,[2]NV!C:C,0))
                                )
                            )
                        )
                    )
                )
            )
        )
    )
)</f>
        <v>11500用 Y字型腰当てベルトセット</v>
      </c>
      <c r="C781" s="4" t="s">
        <v>599</v>
      </c>
      <c r="D781" s="4" t="str">
        <f t="shared" si="36"/>
        <v>11500用 Y字型腰当てベルトセット ｜ 資材倉庫・Irod【11】 ｜ G-1</v>
      </c>
      <c r="E781" s="11" t="str">
        <f t="shared" si="37"/>
        <v>資材倉庫・Irod</v>
      </c>
      <c r="F781" s="12" t="s">
        <v>572</v>
      </c>
      <c r="G781" s="11" t="str">
        <f t="shared" si="38"/>
        <v>11・資材倉庫・IrodG-1</v>
      </c>
    </row>
    <row r="782" spans="1:7" ht="15" customHeight="1" x14ac:dyDescent="0.2">
      <c r="A782" s="10" t="s">
        <v>633</v>
      </c>
      <c r="B782" s="10" t="str">
        <f>IFERROR(
    INDEX([1]FSHIP!B:B,MATCH(A782,[1]FSHIP!A:A,0)),
    IFERROR(
        INDEX([1]釣具商品ship!B:B,MATCH(A782,[1]釣具商品ship!A:A,0)),
        IFERROR(
            INDEX([1]玩具商品ship!B:B,MATCH(A782,[1]玩具商品ship!A:A,0)),
            IFERROR(
                INDEX([1]OEMship!B:B,MATCH(A782,[1]OEMship!A:A,0)),
                IFERROR(
                    INDEX([1]NV6ship!B:B,MATCH(A782,[1]NV6ship!A:A,0)),
                    IFERROR(
                        INDEX([1]NVship!B:B,MATCH(A782,[1]NVship!A:A,0)),
                        IFERROR(
                            INDEX([1]海ship!B:B,MATCH(A782,[1]海ship!A:A,0)),
                            IFERROR(
                                INDEX([1]ｾﾚship!B:B,MATCH(A782,[1]ｾﾚship!A:A,0)),
                                IFERROR(
                                    INDEX([1]ｾﾚﾓﾆｰ商品ship!B:B,MATCH(A782,[1]ｾﾚﾓﾆｰ商品ship!A:A,0)),
                                    INDEX([2]NV!D:D,MATCH(A782,[2]NV!C:C,0))
                                )
                            )
                        )
                    )
                )
            )
        )
    )
)</f>
        <v>Bi 無線式電動雲台（デンウン）V2</v>
      </c>
      <c r="C782" s="4" t="s">
        <v>630</v>
      </c>
      <c r="D782" s="4" t="str">
        <f t="shared" si="36"/>
        <v>Bi 無線式電動雲台（デンウン）V2 ｜ 資材倉庫・Irod【11】 ｜ J-1</v>
      </c>
      <c r="E782" s="11" t="str">
        <f t="shared" si="37"/>
        <v>資材倉庫・Irod</v>
      </c>
      <c r="F782" s="12" t="s">
        <v>572</v>
      </c>
      <c r="G782" s="11" t="str">
        <f t="shared" si="38"/>
        <v>11・資材倉庫・IrodJ-1</v>
      </c>
    </row>
    <row r="783" spans="1:7" ht="15" customHeight="1" x14ac:dyDescent="0.2">
      <c r="A783" s="10" t="s">
        <v>592</v>
      </c>
      <c r="B783" s="10" t="str">
        <f>IFERROR(
    INDEX([1]FSHIP!B:B,MATCH(A783,[1]FSHIP!A:A,0)),
    IFERROR(
        INDEX([1]釣具商品ship!B:B,MATCH(A783,[1]釣具商品ship!A:A,0)),
        IFERROR(
            INDEX([1]玩具商品ship!B:B,MATCH(A783,[1]玩具商品ship!A:A,0)),
            IFERROR(
                INDEX([1]OEMship!B:B,MATCH(A783,[1]OEMship!A:A,0)),
                IFERROR(
                    INDEX([1]NV6ship!B:B,MATCH(A783,[1]NV6ship!A:A,0)),
                    IFERROR(
                        INDEX([1]NVship!B:B,MATCH(A783,[1]NVship!A:A,0)),
                        IFERROR(
                            INDEX([1]海ship!B:B,MATCH(A783,[1]海ship!A:A,0)),
                            IFERROR(
                                INDEX([1]ｾﾚship!B:B,MATCH(A783,[1]ｾﾚship!A:A,0)),
                                IFERROR(
                                    INDEX([1]ｾﾚﾓﾆｰ商品ship!B:B,MATCH(A783,[1]ｾﾚﾓﾆｰ商品ship!A:A,0)),
                                    INDEX([2]NV!D:D,MATCH(A783,[2]NV!C:C,0))
                                )
                            )
                        )
                    )
                )
            )
        )
    )
)</f>
        <v>ステンレス製変換アダプター</v>
      </c>
      <c r="C783" s="4" t="s">
        <v>599</v>
      </c>
      <c r="D783" s="4" t="str">
        <f t="shared" si="36"/>
        <v>ステンレス製変換アダプター ｜ 資材倉庫・Irod【11】 ｜ G-1</v>
      </c>
      <c r="E783" s="11" t="str">
        <f t="shared" si="37"/>
        <v>資材倉庫・Irod</v>
      </c>
      <c r="F783" s="12" t="s">
        <v>572</v>
      </c>
      <c r="G783" s="11" t="str">
        <f t="shared" si="38"/>
        <v>11・資材倉庫・IrodG-1</v>
      </c>
    </row>
    <row r="784" spans="1:7" ht="15" customHeight="1" x14ac:dyDescent="0.2">
      <c r="A784" s="10" t="s">
        <v>554</v>
      </c>
      <c r="B784" s="10" t="str">
        <f>IFERROR(
    INDEX([1]FSHIP!B:B,MATCH(A784,[1]FSHIP!A:A,0)),
    IFERROR(
        INDEX([1]釣具商品ship!B:B,MATCH(A784,[1]釣具商品ship!A:A,0)),
        IFERROR(
            INDEX([1]玩具商品ship!B:B,MATCH(A784,[1]玩具商品ship!A:A,0)),
            IFERROR(
                INDEX([1]OEMship!B:B,MATCH(A784,[1]OEMship!A:A,0)),
                IFERROR(
                    INDEX([1]NV6ship!B:B,MATCH(A784,[1]NV6ship!A:A,0)),
                    IFERROR(
                        INDEX([1]NVship!B:B,MATCH(A784,[1]NVship!A:A,0)),
                        IFERROR(
                            INDEX([1]海ship!B:B,MATCH(A784,[1]海ship!A:A,0)),
                            IFERROR(
                                INDEX([1]ｾﾚship!B:B,MATCH(A784,[1]ｾﾚship!A:A,0)),
                                IFERROR(
                                    INDEX([1]ｾﾚﾓﾆｰ商品ship!B:B,MATCH(A784,[1]ｾﾚﾓﾆｰ商品ship!A:A,0)),
                                    INDEX([2]NV!D:D,MATCH(A784,[2]NV!C:C,0))
                                )
                            )
                        )
                    )
                )
            )
        )
    )
)</f>
        <v>Bi Rod 10C-11500V2</v>
      </c>
      <c r="C784" s="4" t="s">
        <v>553</v>
      </c>
      <c r="D784" s="4" t="str">
        <f t="shared" si="36"/>
        <v>Bi Rod 10C-11500V2 ｜ 資材倉庫・Irod【11】 ｜ B-1</v>
      </c>
      <c r="E784" s="11" t="str">
        <f t="shared" si="37"/>
        <v>資材倉庫・Irod</v>
      </c>
      <c r="F784" s="12" t="s">
        <v>546</v>
      </c>
      <c r="G784" s="11" t="str">
        <f t="shared" si="38"/>
        <v>11・資材倉庫・IrodB-1</v>
      </c>
    </row>
    <row r="785" spans="1:7" ht="15" customHeight="1" x14ac:dyDescent="0.2">
      <c r="A785" s="10" t="s">
        <v>558</v>
      </c>
      <c r="B785" s="10" t="str">
        <f>IFERROR(
    INDEX([1]FSHIP!B:B,MATCH(A785,[1]FSHIP!A:A,0)),
    IFERROR(
        INDEX([1]釣具商品ship!B:B,MATCH(A785,[1]釣具商品ship!A:A,0)),
        IFERROR(
            INDEX([1]玩具商品ship!B:B,MATCH(A785,[1]玩具商品ship!A:A,0)),
            IFERROR(
                INDEX([1]OEMship!B:B,MATCH(A785,[1]OEMship!A:A,0)),
                IFERROR(
                    INDEX([1]NV6ship!B:B,MATCH(A785,[1]NV6ship!A:A,0)),
                    IFERROR(
                        INDEX([1]NVship!B:B,MATCH(A785,[1]NVship!A:A,0)),
                        IFERROR(
                            INDEX([1]海ship!B:B,MATCH(A785,[1]海ship!A:A,0)),
                            IFERROR(
                                INDEX([1]ｾﾚship!B:B,MATCH(A785,[1]ｾﾚship!A:A,0)),
                                IFERROR(
                                    INDEX([1]ｾﾚﾓﾆｰ商品ship!B:B,MATCH(A785,[1]ｾﾚﾓﾆｰ商品ship!A:A,0)),
                                    INDEX([2]NV!D:D,MATCH(A785,[2]NV!C:C,0))
                                )
                            )
                        )
                    )
                )
            )
        )
    )
)</f>
        <v>Bi Rod 10C-11500V2＋専用三脚セット</v>
      </c>
      <c r="C785" s="4" t="s">
        <v>557</v>
      </c>
      <c r="D785" s="4" t="str">
        <f t="shared" si="36"/>
        <v>Bi Rod 10C-11500V2＋専用三脚セット ｜ 資材倉庫・Irod【11】 ｜ C-1</v>
      </c>
      <c r="E785" s="11" t="str">
        <f t="shared" si="37"/>
        <v>資材倉庫・Irod</v>
      </c>
      <c r="F785" s="12" t="s">
        <v>546</v>
      </c>
      <c r="G785" s="11" t="str">
        <f t="shared" si="38"/>
        <v>11・資材倉庫・IrodC-1</v>
      </c>
    </row>
    <row r="786" spans="1:7" ht="15" customHeight="1" x14ac:dyDescent="0.2">
      <c r="A786" s="10" t="s">
        <v>559</v>
      </c>
      <c r="B786" s="10" t="str">
        <f>IFERROR(
    INDEX([1]FSHIP!B:B,MATCH(A786,[1]FSHIP!A:A,0)),
    IFERROR(
        INDEX([1]釣具商品ship!B:B,MATCH(A786,[1]釣具商品ship!A:A,0)),
        IFERROR(
            INDEX([1]玩具商品ship!B:B,MATCH(A786,[1]玩具商品ship!A:A,0)),
            IFERROR(
                INDEX([1]OEMship!B:B,MATCH(A786,[1]OEMship!A:A,0)),
                IFERROR(
                    INDEX([1]NV6ship!B:B,MATCH(A786,[1]NV6ship!A:A,0)),
                    IFERROR(
                        INDEX([1]NVship!B:B,MATCH(A786,[1]NVship!A:A,0)),
                        IFERROR(
                            INDEX([1]海ship!B:B,MATCH(A786,[1]海ship!A:A,0)),
                            IFERROR(
                                INDEX([1]ｾﾚship!B:B,MATCH(A786,[1]ｾﾚship!A:A,0)),
                                IFERROR(
                                    INDEX([1]ｾﾚﾓﾆｰ商品ship!B:B,MATCH(A786,[1]ｾﾚﾓﾆｰ商品ship!A:A,0)),
                                    INDEX([2]NV!D:D,MATCH(A786,[2]NV!C:C,0))
                                )
                            )
                        )
                    )
                )
            )
        )
    )
)</f>
        <v>Bi Rod 6C-7500V2</v>
      </c>
      <c r="C786" s="4" t="s">
        <v>557</v>
      </c>
      <c r="D786" s="4" t="str">
        <f t="shared" si="36"/>
        <v>Bi Rod 6C-7500V2 ｜ 資材倉庫・Irod【11】 ｜ C-1</v>
      </c>
      <c r="E786" s="11" t="str">
        <f t="shared" si="37"/>
        <v>資材倉庫・Irod</v>
      </c>
      <c r="F786" s="12" t="s">
        <v>546</v>
      </c>
      <c r="G786" s="11" t="str">
        <f t="shared" si="38"/>
        <v>11・資材倉庫・IrodC-1</v>
      </c>
    </row>
    <row r="787" spans="1:7" ht="15" customHeight="1" x14ac:dyDescent="0.2">
      <c r="A787" s="10" t="s">
        <v>555</v>
      </c>
      <c r="B787" s="10" t="str">
        <f>IFERROR(
    INDEX([1]FSHIP!B:B,MATCH(A787,[1]FSHIP!A:A,0)),
    IFERROR(
        INDEX([1]釣具商品ship!B:B,MATCH(A787,[1]釣具商品ship!A:A,0)),
        IFERROR(
            INDEX([1]玩具商品ship!B:B,MATCH(A787,[1]玩具商品ship!A:A,0)),
            IFERROR(
                INDEX([1]OEMship!B:B,MATCH(A787,[1]OEMship!A:A,0)),
                IFERROR(
                    INDEX([1]NV6ship!B:B,MATCH(A787,[1]NV6ship!A:A,0)),
                    IFERROR(
                        INDEX([1]NVship!B:B,MATCH(A787,[1]NVship!A:A,0)),
                        IFERROR(
                            INDEX([1]海ship!B:B,MATCH(A787,[1]海ship!A:A,0)),
                            IFERROR(
                                INDEX([1]ｾﾚship!B:B,MATCH(A787,[1]ｾﾚship!A:A,0)),
                                IFERROR(
                                    INDEX([1]ｾﾚﾓﾆｰ商品ship!B:B,MATCH(A787,[1]ｾﾚﾓﾆｰ商品ship!A:A,0)),
                                    INDEX([2]NV!D:D,MATCH(A787,[2]NV!C:C,0))
                                )
                            )
                        )
                    )
                )
            )
        )
    )
)</f>
        <v>Bi Rod 6C-7500V2＋専用三脚セット</v>
      </c>
      <c r="C787" s="4" t="s">
        <v>553</v>
      </c>
      <c r="D787" s="4" t="str">
        <f t="shared" si="36"/>
        <v>Bi Rod 6C-7500V2＋専用三脚セット ｜ 資材倉庫・Irod【11】 ｜ B-1</v>
      </c>
      <c r="E787" s="11" t="str">
        <f t="shared" si="37"/>
        <v>資材倉庫・Irod</v>
      </c>
      <c r="F787" s="12" t="s">
        <v>546</v>
      </c>
      <c r="G787" s="11" t="str">
        <f t="shared" si="38"/>
        <v>11・資材倉庫・IrodB-1</v>
      </c>
    </row>
    <row r="788" spans="1:7" ht="15" customHeight="1" x14ac:dyDescent="0.2">
      <c r="A788" s="10" t="s">
        <v>560</v>
      </c>
      <c r="B788" s="10" t="str">
        <f>IFERROR(
    INDEX([1]FSHIP!B:B,MATCH(A788,[1]FSHIP!A:A,0)),
    IFERROR(
        INDEX([1]釣具商品ship!B:B,MATCH(A788,[1]釣具商品ship!A:A,0)),
        IFERROR(
            INDEX([1]玩具商品ship!B:B,MATCH(A788,[1]玩具商品ship!A:A,0)),
            IFERROR(
                INDEX([1]OEMship!B:B,MATCH(A788,[1]OEMship!A:A,0)),
                IFERROR(
                    INDEX([1]NV6ship!B:B,MATCH(A788,[1]NV6ship!A:A,0)),
                    IFERROR(
                        INDEX([1]NVship!B:B,MATCH(A788,[1]NVship!A:A,0)),
                        IFERROR(
                            INDEX([1]海ship!B:B,MATCH(A788,[1]海ship!A:A,0)),
                            IFERROR(
                                INDEX([1]ｾﾚship!B:B,MATCH(A788,[1]ｾﾚship!A:A,0)),
                                IFERROR(
                                    INDEX([1]ｾﾚﾓﾆｰ商品ship!B:B,MATCH(A788,[1]ｾﾚﾓﾆｰ商品ship!A:A,0)),
                                    INDEX([2]NV!D:D,MATCH(A788,[2]NV!C:C,0))
                                )
                            )
                        )
                    )
                )
            )
        )
    )
)</f>
        <v>Bi Rod 6C-7500V2＋専用伸縮三脚セット</v>
      </c>
      <c r="C788" s="4" t="s">
        <v>557</v>
      </c>
      <c r="D788" s="4" t="str">
        <f t="shared" si="36"/>
        <v>Bi Rod 6C-7500V2＋専用伸縮三脚セット ｜ 資材倉庫・Irod【11】 ｜ C-1</v>
      </c>
      <c r="E788" s="11" t="str">
        <f t="shared" si="37"/>
        <v>資材倉庫・Irod</v>
      </c>
      <c r="F788" s="12" t="s">
        <v>546</v>
      </c>
      <c r="G788" s="11" t="str">
        <f t="shared" si="38"/>
        <v>11・資材倉庫・IrodC-1</v>
      </c>
    </row>
    <row r="789" spans="1:7" ht="15" customHeight="1" x14ac:dyDescent="0.2">
      <c r="A789" s="10" t="s">
        <v>561</v>
      </c>
      <c r="B789" s="10" t="str">
        <f>IFERROR(
    INDEX([1]FSHIP!B:B,MATCH(A789,[1]FSHIP!A:A,0)),
    IFERROR(
        INDEX([1]釣具商品ship!B:B,MATCH(A789,[1]釣具商品ship!A:A,0)),
        IFERROR(
            INDEX([1]玩具商品ship!B:B,MATCH(A789,[1]玩具商品ship!A:A,0)),
            IFERROR(
                INDEX([1]OEMship!B:B,MATCH(A789,[1]OEMship!A:A,0)),
                IFERROR(
                    INDEX([1]NV6ship!B:B,MATCH(A789,[1]NV6ship!A:A,0)),
                    IFERROR(
                        INDEX([1]NVship!B:B,MATCH(A789,[1]NVship!A:A,0)),
                        IFERROR(
                            INDEX([1]海ship!B:B,MATCH(A789,[1]海ship!A:A,0)),
                            IFERROR(
                                INDEX([1]ｾﾚship!B:B,MATCH(A789,[1]ｾﾚship!A:A,0)),
                                IFERROR(
                                    INDEX([1]ｾﾚﾓﾆｰ商品ship!B:B,MATCH(A789,[1]ｾﾚﾓﾆｰ商品ship!A:A,0)),
                                    INDEX([2]NV!D:D,MATCH(A789,[2]NV!C:C,0))
                                )
                            )
                        )
                    )
                )
            )
        )
    )
)</f>
        <v>Bi Rod 6G-7500V2</v>
      </c>
      <c r="C789" s="4" t="s">
        <v>557</v>
      </c>
      <c r="D789" s="4" t="str">
        <f t="shared" si="36"/>
        <v>Bi Rod 6G-7500V2 ｜ 資材倉庫・Irod【11】 ｜ C-1</v>
      </c>
      <c r="E789" s="11" t="str">
        <f t="shared" si="37"/>
        <v>資材倉庫・Irod</v>
      </c>
      <c r="F789" s="12" t="s">
        <v>546</v>
      </c>
      <c r="G789" s="11" t="str">
        <f t="shared" si="38"/>
        <v>11・資材倉庫・IrodC-1</v>
      </c>
    </row>
    <row r="790" spans="1:7" ht="15" customHeight="1" x14ac:dyDescent="0.2">
      <c r="A790" s="10" t="s">
        <v>548</v>
      </c>
      <c r="B790" s="10" t="str">
        <f>IFERROR(
    INDEX([1]FSHIP!B:B,MATCH(A790,[1]FSHIP!A:A,0)),
    IFERROR(
        INDEX([1]釣具商品ship!B:B,MATCH(A790,[1]釣具商品ship!A:A,0)),
        IFERROR(
            INDEX([1]玩具商品ship!B:B,MATCH(A790,[1]玩具商品ship!A:A,0)),
            IFERROR(
                INDEX([1]OEMship!B:B,MATCH(A790,[1]OEMship!A:A,0)),
                IFERROR(
                    INDEX([1]NV6ship!B:B,MATCH(A790,[1]NV6ship!A:A,0)),
                    IFERROR(
                        INDEX([1]NVship!B:B,MATCH(A790,[1]NVship!A:A,0)),
                        IFERROR(
                            INDEX([1]海ship!B:B,MATCH(A790,[1]海ship!A:A,0)),
                            IFERROR(
                                INDEX([1]ｾﾚship!B:B,MATCH(A790,[1]ｾﾚship!A:A,0)),
                                IFERROR(
                                    INDEX([1]ｾﾚﾓﾆｰ商品ship!B:B,MATCH(A790,[1]ｾﾚﾓﾆｰ商品ship!A:A,0)),
                                    INDEX([2]NV!D:D,MATCH(A790,[2]NV!C:C,0))
                                )
                            )
                        )
                    )
                )
            )
        )
    )
)</f>
        <v>Bi Rod 6G-7500V2＋専用三脚セット</v>
      </c>
      <c r="C790" s="4" t="s">
        <v>547</v>
      </c>
      <c r="D790" s="4" t="str">
        <f t="shared" si="36"/>
        <v>Bi Rod 6G-7500V2＋専用三脚セット ｜ 資材倉庫・Irod【11】 ｜ E-1</v>
      </c>
      <c r="E790" s="11" t="str">
        <f t="shared" si="37"/>
        <v>資材倉庫・Irod</v>
      </c>
      <c r="F790" s="12" t="s">
        <v>546</v>
      </c>
      <c r="G790" s="11" t="str">
        <f t="shared" si="38"/>
        <v>11・資材倉庫・IrodE-1</v>
      </c>
    </row>
    <row r="791" spans="1:7" ht="15" customHeight="1" x14ac:dyDescent="0.2">
      <c r="A791" s="10" t="s">
        <v>549</v>
      </c>
      <c r="B791" s="10" t="str">
        <f>IFERROR(
    INDEX([1]FSHIP!B:B,MATCH(A791,[1]FSHIP!A:A,0)),
    IFERROR(
        INDEX([1]釣具商品ship!B:B,MATCH(A791,[1]釣具商品ship!A:A,0)),
        IFERROR(
            INDEX([1]玩具商品ship!B:B,MATCH(A791,[1]玩具商品ship!A:A,0)),
            IFERROR(
                INDEX([1]OEMship!B:B,MATCH(A791,[1]OEMship!A:A,0)),
                IFERROR(
                    INDEX([1]NV6ship!B:B,MATCH(A791,[1]NV6ship!A:A,0)),
                    IFERROR(
                        INDEX([1]NVship!B:B,MATCH(A791,[1]NVship!A:A,0)),
                        IFERROR(
                            INDEX([1]海ship!B:B,MATCH(A791,[1]海ship!A:A,0)),
                            IFERROR(
                                INDEX([1]ｾﾚship!B:B,MATCH(A791,[1]ｾﾚship!A:A,0)),
                                IFERROR(
                                    INDEX([1]ｾﾚﾓﾆｰ商品ship!B:B,MATCH(A791,[1]ｾﾚﾓﾆｰ商品ship!A:A,0)),
                                    INDEX([2]NV!D:D,MATCH(A791,[2]NV!C:C,0))
                                )
                            )
                        )
                    )
                )
            )
        )
    )
)</f>
        <v>Bi Rod 6C-4500V2</v>
      </c>
      <c r="C791" s="4" t="s">
        <v>547</v>
      </c>
      <c r="D791" s="4" t="str">
        <f t="shared" si="36"/>
        <v>Bi Rod 6C-4500V2 ｜ 資材倉庫・Irod【11】 ｜ E-1</v>
      </c>
      <c r="E791" s="11" t="str">
        <f t="shared" si="37"/>
        <v>資材倉庫・Irod</v>
      </c>
      <c r="F791" s="12" t="s">
        <v>546</v>
      </c>
      <c r="G791" s="11" t="str">
        <f t="shared" si="38"/>
        <v>11・資材倉庫・IrodE-1</v>
      </c>
    </row>
    <row r="792" spans="1:7" ht="15" customHeight="1" x14ac:dyDescent="0.2">
      <c r="A792" s="10" t="s">
        <v>556</v>
      </c>
      <c r="B792" s="10" t="str">
        <f>IFERROR(
    INDEX([1]FSHIP!B:B,MATCH(A792,[1]FSHIP!A:A,0)),
    IFERROR(
        INDEX([1]釣具商品ship!B:B,MATCH(A792,[1]釣具商品ship!A:A,0)),
        IFERROR(
            INDEX([1]玩具商品ship!B:B,MATCH(A792,[1]玩具商品ship!A:A,0)),
            IFERROR(
                INDEX([1]OEMship!B:B,MATCH(A792,[1]OEMship!A:A,0)),
                IFERROR(
                    INDEX([1]NV6ship!B:B,MATCH(A792,[1]NV6ship!A:A,0)),
                    IFERROR(
                        INDEX([1]NVship!B:B,MATCH(A792,[1]NVship!A:A,0)),
                        IFERROR(
                            INDEX([1]海ship!B:B,MATCH(A792,[1]海ship!A:A,0)),
                            IFERROR(
                                INDEX([1]ｾﾚship!B:B,MATCH(A792,[1]ｾﾚship!A:A,0)),
                                IFERROR(
                                    INDEX([1]ｾﾚﾓﾆｰ商品ship!B:B,MATCH(A792,[1]ｾﾚﾓﾆｰ商品ship!A:A,0)),
                                    INDEX([2]NV!D:D,MATCH(A792,[2]NV!C:C,0))
                                )
                            )
                        )
                    )
                )
            )
        )
    )
)</f>
        <v>Bi Rod 6C-4500V2＋専用三脚セット</v>
      </c>
      <c r="C792" s="4" t="s">
        <v>553</v>
      </c>
      <c r="D792" s="4" t="str">
        <f t="shared" si="36"/>
        <v>Bi Rod 6C-4500V2＋専用三脚セット ｜ 資材倉庫・Irod【11】 ｜ B-1</v>
      </c>
      <c r="E792" s="11" t="str">
        <f t="shared" si="37"/>
        <v>資材倉庫・Irod</v>
      </c>
      <c r="F792" s="12" t="s">
        <v>546</v>
      </c>
      <c r="G792" s="11" t="str">
        <f t="shared" si="38"/>
        <v>11・資材倉庫・IrodB-1</v>
      </c>
    </row>
    <row r="793" spans="1:7" ht="15" customHeight="1" x14ac:dyDescent="0.2">
      <c r="A793" s="10" t="s">
        <v>568</v>
      </c>
      <c r="B793" s="10" t="str">
        <f>IFERROR(
    INDEX([1]FSHIP!B:B,MATCH(A793,[1]FSHIP!A:A,0)),
    IFERROR(
        INDEX([1]釣具商品ship!B:B,MATCH(A793,[1]釣具商品ship!A:A,0)),
        IFERROR(
            INDEX([1]玩具商品ship!B:B,MATCH(A793,[1]玩具商品ship!A:A,0)),
            IFERROR(
                INDEX([1]OEMship!B:B,MATCH(A793,[1]OEMship!A:A,0)),
                IFERROR(
                    INDEX([1]NV6ship!B:B,MATCH(A793,[1]NV6ship!A:A,0)),
                    IFERROR(
                        INDEX([1]NVship!B:B,MATCH(A793,[1]NVship!A:A,0)),
                        IFERROR(
                            INDEX([1]海ship!B:B,MATCH(A793,[1]海ship!A:A,0)),
                            IFERROR(
                                INDEX([1]ｾﾚship!B:B,MATCH(A793,[1]ｾﾚship!A:A,0)),
                                IFERROR(
                                    INDEX([1]ｾﾚﾓﾆｰ商品ship!B:B,MATCH(A793,[1]ｾﾚﾓﾆｰ商品ship!A:A,0)),
                                    INDEX([2]NV!D:D,MATCH(A793,[2]NV!C:C,0))
                                )
                            )
                        )
                    )
                )
            )
        )
    )
)</f>
        <v>Bi Rod 6G-4500V2</v>
      </c>
      <c r="C793" s="4" t="s">
        <v>562</v>
      </c>
      <c r="D793" s="4" t="str">
        <f t="shared" si="36"/>
        <v>Bi Rod 6G-4500V2 ｜ 資材倉庫・Irod【11】 ｜ D-1</v>
      </c>
      <c r="E793" s="11" t="str">
        <f t="shared" si="37"/>
        <v>資材倉庫・Irod</v>
      </c>
      <c r="F793" s="12" t="s">
        <v>546</v>
      </c>
      <c r="G793" s="11" t="str">
        <f t="shared" si="38"/>
        <v>11・資材倉庫・IrodD-1</v>
      </c>
    </row>
    <row r="794" spans="1:7" ht="15" customHeight="1" x14ac:dyDescent="0.2">
      <c r="A794" s="10" t="s">
        <v>550</v>
      </c>
      <c r="B794" s="10" t="str">
        <f>IFERROR(
    INDEX([1]FSHIP!B:B,MATCH(A794,[1]FSHIP!A:A,0)),
    IFERROR(
        INDEX([1]釣具商品ship!B:B,MATCH(A794,[1]釣具商品ship!A:A,0)),
        IFERROR(
            INDEX([1]玩具商品ship!B:B,MATCH(A794,[1]玩具商品ship!A:A,0)),
            IFERROR(
                INDEX([1]OEMship!B:B,MATCH(A794,[1]OEMship!A:A,0)),
                IFERROR(
                    INDEX([1]NV6ship!B:B,MATCH(A794,[1]NV6ship!A:A,0)),
                    IFERROR(
                        INDEX([1]NVship!B:B,MATCH(A794,[1]NVship!A:A,0)),
                        IFERROR(
                            INDEX([1]海ship!B:B,MATCH(A794,[1]海ship!A:A,0)),
                            IFERROR(
                                INDEX([1]ｾﾚship!B:B,MATCH(A794,[1]ｾﾚship!A:A,0)),
                                IFERROR(
                                    INDEX([1]ｾﾚﾓﾆｰ商品ship!B:B,MATCH(A794,[1]ｾﾚﾓﾆｰ商品ship!A:A,0)),
                                    INDEX([2]NV!D:D,MATCH(A794,[2]NV!C:C,0))
                                )
                            )
                        )
                    )
                )
            )
        )
    )
)</f>
        <v>Bi Rod 6G-4500V2＋専用三脚セット</v>
      </c>
      <c r="C794" s="4" t="s">
        <v>547</v>
      </c>
      <c r="D794" s="4" t="str">
        <f t="shared" si="36"/>
        <v>Bi Rod 6G-4500V2＋専用三脚セット ｜ 資材倉庫・Irod【11】 ｜ E-1</v>
      </c>
      <c r="E794" s="11" t="str">
        <f t="shared" si="37"/>
        <v>資材倉庫・Irod</v>
      </c>
      <c r="F794" s="12" t="s">
        <v>546</v>
      </c>
      <c r="G794" s="11" t="str">
        <f t="shared" si="38"/>
        <v>11・資材倉庫・IrodE-1</v>
      </c>
    </row>
    <row r="795" spans="1:7" ht="15" customHeight="1" x14ac:dyDescent="0.2">
      <c r="A795" s="10" t="s">
        <v>552</v>
      </c>
      <c r="B795" s="10" t="str">
        <f>IFERROR(
    INDEX([1]FSHIP!B:B,MATCH(A795,[1]FSHIP!A:A,0)),
    IFERROR(
        INDEX([1]釣具商品ship!B:B,MATCH(A795,[1]釣具商品ship!A:A,0)),
        IFERROR(
            INDEX([1]玩具商品ship!B:B,MATCH(A795,[1]玩具商品ship!A:A,0)),
            IFERROR(
                INDEX([1]OEMship!B:B,MATCH(A795,[1]OEMship!A:A,0)),
                IFERROR(
                    INDEX([1]NV6ship!B:B,MATCH(A795,[1]NV6ship!A:A,0)),
                    IFERROR(
                        INDEX([1]NVship!B:B,MATCH(A795,[1]NVship!A:A,0)),
                        IFERROR(
                            INDEX([1]海ship!B:B,MATCH(A795,[1]海ship!A:A,0)),
                            IFERROR(
                                INDEX([1]ｾﾚship!B:B,MATCH(A795,[1]ｾﾚship!A:A,0)),
                                IFERROR(
                                    INDEX([1]ｾﾚﾓﾆｰ商品ship!B:B,MATCH(A795,[1]ｾﾚﾓﾆｰ商品ship!A:A,0)),
                                    INDEX([2]NV!D:D,MATCH(A795,[2]NV!C:C,0))
                                )
                            )
                        )
                    )
                )
            )
        )
    )
)</f>
        <v>Bi Rod 6G-2000V2＋専用三脚セット</v>
      </c>
      <c r="C795" s="4" t="s">
        <v>547</v>
      </c>
      <c r="D795" s="4" t="str">
        <f t="shared" si="36"/>
        <v>Bi Rod 6G-2000V2＋専用三脚セット ｜ 資材倉庫・Irod【11】 ｜ E-1</v>
      </c>
      <c r="E795" s="11" t="str">
        <f t="shared" si="37"/>
        <v>資材倉庫・Irod</v>
      </c>
      <c r="F795" s="12" t="s">
        <v>546</v>
      </c>
      <c r="G795" s="11" t="str">
        <f t="shared" si="38"/>
        <v>11・資材倉庫・IrodE-1</v>
      </c>
    </row>
    <row r="796" spans="1:7" ht="15" customHeight="1" x14ac:dyDescent="0.2">
      <c r="A796" s="10" t="s">
        <v>591</v>
      </c>
      <c r="B796" s="10" t="str">
        <f>IFERROR(
    INDEX([1]FSHIP!B:B,MATCH(A796,[1]FSHIP!A:A,0)),
    IFERROR(
        INDEX([1]釣具商品ship!B:B,MATCH(A796,[1]釣具商品ship!A:A,0)),
        IFERROR(
            INDEX([1]玩具商品ship!B:B,MATCH(A796,[1]玩具商品ship!A:A,0)),
            IFERROR(
                INDEX([1]OEMship!B:B,MATCH(A796,[1]OEMship!A:A,0)),
                IFERROR(
                    INDEX([1]NV6ship!B:B,MATCH(A796,[1]NV6ship!A:A,0)),
                    IFERROR(
                        INDEX([1]NVship!B:B,MATCH(A796,[1]NVship!A:A,0)),
                        IFERROR(
                            INDEX([1]海ship!B:B,MATCH(A796,[1]海ship!A:A,0)),
                            IFERROR(
                                INDEX([1]ｾﾚship!B:B,MATCH(A796,[1]ｾﾚship!A:A,0)),
                                IFERROR(
                                    INDEX([1]ｾﾚﾓﾆｰ商品ship!B:B,MATCH(A796,[1]ｾﾚﾓﾆｰ商品ship!A:A,0)),
                                    INDEX([2]NV!D:D,MATCH(A796,[2]NV!C:C,0))
                                )
                            )
                        )
                    )
                )
            )
        )
    )
)</f>
        <v>Bi RodクランプレバーV2</v>
      </c>
      <c r="C796" s="4" t="s">
        <v>599</v>
      </c>
      <c r="D796" s="4" t="str">
        <f t="shared" si="36"/>
        <v>Bi RodクランプレバーV2 ｜ 資材倉庫・Irod【11】 ｜ G-1</v>
      </c>
      <c r="E796" s="11" t="str">
        <f t="shared" si="37"/>
        <v>資材倉庫・Irod</v>
      </c>
      <c r="F796" s="12" t="s">
        <v>572</v>
      </c>
      <c r="G796" s="11" t="str">
        <f t="shared" si="38"/>
        <v>11・資材倉庫・IrodG-1</v>
      </c>
    </row>
    <row r="797" spans="1:7" ht="15" customHeight="1" x14ac:dyDescent="0.2">
      <c r="A797" s="10" t="s">
        <v>551</v>
      </c>
      <c r="B797" s="10" t="str">
        <f>IFERROR(
    INDEX([1]FSHIP!B:B,MATCH(A797,[1]FSHIP!A:A,0)),
    IFERROR(
        INDEX([1]釣具商品ship!B:B,MATCH(A797,[1]釣具商品ship!A:A,0)),
        IFERROR(
            INDEX([1]玩具商品ship!B:B,MATCH(A797,[1]玩具商品ship!A:A,0)),
            IFERROR(
                INDEX([1]OEMship!B:B,MATCH(A797,[1]OEMship!A:A,0)),
                IFERROR(
                    INDEX([1]NV6ship!B:B,MATCH(A797,[1]NV6ship!A:A,0)),
                    IFERROR(
                        INDEX([1]NVship!B:B,MATCH(A797,[1]NVship!A:A,0)),
                        IFERROR(
                            INDEX([1]海ship!B:B,MATCH(A797,[1]海ship!A:A,0)),
                            IFERROR(
                                INDEX([1]ｾﾚship!B:B,MATCH(A797,[1]ｾﾚship!A:A,0)),
                                IFERROR(
                                    INDEX([1]ｾﾚﾓﾆｰ商品ship!B:B,MATCH(A797,[1]ｾﾚﾓﾆｰ商品ship!A:A,0)),
                                    INDEX([2]NV!D:D,MATCH(A797,[2]NV!C:C,0))
                                )
                            )
                        )
                    )
                )
            )
        )
    )
)</f>
        <v>新Bi Rod 11.5mセット用ハードケース</v>
      </c>
      <c r="C797" s="4" t="s">
        <v>547</v>
      </c>
      <c r="D797" s="4" t="str">
        <f t="shared" si="36"/>
        <v>新Bi Rod 11.5mセット用ハードケース ｜ 資材倉庫・Irod【11】 ｜ E-1</v>
      </c>
      <c r="E797" s="11" t="str">
        <f t="shared" si="37"/>
        <v>資材倉庫・Irod</v>
      </c>
      <c r="F797" s="12" t="s">
        <v>546</v>
      </c>
      <c r="G797" s="11" t="str">
        <f t="shared" si="38"/>
        <v>11・資材倉庫・IrodE-1</v>
      </c>
    </row>
    <row r="798" spans="1:7" ht="15" customHeight="1" x14ac:dyDescent="0.2">
      <c r="A798" s="14" t="s">
        <v>841</v>
      </c>
      <c r="B798" s="10" t="str">
        <f>IFERROR(
    INDEX([1]FSHIP!B:B,MATCH(A798,[1]FSHIP!A:A,0)),
    IFERROR(
        INDEX([1]釣具商品ship!B:B,MATCH(A798,[1]釣具商品ship!A:A,0)),
        IFERROR(
            INDEX([1]玩具商品ship!B:B,MATCH(A798,[1]玩具商品ship!A:A,0)),
            IFERROR(
                INDEX([1]OEMship!B:B,MATCH(A798,[1]OEMship!A:A,0)),
                IFERROR(
                    INDEX([1]NV6ship!B:B,MATCH(A798,[1]NV6ship!A:A,0)),
                    IFERROR(
                        INDEX([1]NVship!B:B,MATCH(A798,[1]NVship!A:A,0)),
                        IFERROR(
                            INDEX([1]海ship!B:B,MATCH(A798,[1]海ship!A:A,0)),
                            IFERROR(
                                INDEX([1]ｾﾚship!B:B,MATCH(A798,[1]ｾﾚship!A:A,0)),
                                IFERROR(
                                    INDEX([1]ｾﾚﾓﾆｰ商品ship!B:B,MATCH(A798,[1]ｾﾚﾓﾆｰ商品ship!A:A,0)),
                                    INDEX([2]NV!D:D,MATCH(A798,[2]NV!C:C,0))
                                )
                            )
                        )
                    )
                )
            )
        )
    )
)</f>
        <v>二酸化塩素香 POWER 2inch 高濃度</v>
      </c>
      <c r="C798" s="16" t="s">
        <v>802</v>
      </c>
      <c r="D798" s="4" t="str">
        <f t="shared" si="36"/>
        <v>二酸化塩素香 POWER 2inch 高濃度 ｜ 2F【05】 ｜ A-1</v>
      </c>
      <c r="E798" s="11" t="str">
        <f t="shared" si="37"/>
        <v>2F</v>
      </c>
      <c r="F798" s="12" t="s">
        <v>803</v>
      </c>
      <c r="G798" s="11" t="str">
        <f t="shared" si="38"/>
        <v>05・2FA-1</v>
      </c>
    </row>
    <row r="799" spans="1:7" ht="15" customHeight="1" x14ac:dyDescent="0.2">
      <c r="A799" s="10" t="s">
        <v>607</v>
      </c>
      <c r="B799" s="10" t="str">
        <f>IFERROR(
    INDEX([1]FSHIP!B:B,MATCH(A799,[1]FSHIP!A:A,0)),
    IFERROR(
        INDEX([1]釣具商品ship!B:B,MATCH(A799,[1]釣具商品ship!A:A,0)),
        IFERROR(
            INDEX([1]玩具商品ship!B:B,MATCH(A799,[1]玩具商品ship!A:A,0)),
            IFERROR(
                INDEX([1]OEMship!B:B,MATCH(A799,[1]OEMship!A:A,0)),
                IFERROR(
                    INDEX([1]NV6ship!B:B,MATCH(A799,[1]NV6ship!A:A,0)),
                    IFERROR(
                        INDEX([1]NVship!B:B,MATCH(A799,[1]NVship!A:A,0)),
                        IFERROR(
                            INDEX([1]海ship!B:B,MATCH(A799,[1]海ship!A:A,0)),
                            IFERROR(
                                INDEX([1]ｾﾚship!B:B,MATCH(A799,[1]ｾﾚship!A:A,0)),
                                IFERROR(
                                    INDEX([1]ｾﾚﾓﾆｰ商品ship!B:B,MATCH(A799,[1]ｾﾚﾓﾆｰ商品ship!A:A,0)),
                                    INDEX([2]NV!D:D,MATCH(A799,[2]NV!C:C,0))
                                )
                            )
                        )
                    )
                )
            )
        )
    )
)</f>
        <v>見エ～ル専用　Bi Rod</v>
      </c>
      <c r="C799" s="4" t="s">
        <v>606</v>
      </c>
      <c r="D799" s="4" t="str">
        <f t="shared" si="36"/>
        <v>見エ～ル専用　Bi Rod ｜ 資材倉庫・Irod【11】 ｜ A-1</v>
      </c>
      <c r="E799" s="11" t="str">
        <f t="shared" si="37"/>
        <v>資材倉庫・Irod</v>
      </c>
      <c r="F799" s="12" t="s">
        <v>572</v>
      </c>
      <c r="G799" s="11" t="str">
        <f t="shared" si="38"/>
        <v>11・資材倉庫・IrodA-1</v>
      </c>
    </row>
    <row r="800" spans="1:7" ht="15" customHeight="1" x14ac:dyDescent="0.2">
      <c r="A800" s="10" t="s">
        <v>597</v>
      </c>
      <c r="B800" s="10" t="str">
        <f>IFERROR(
    INDEX([1]FSHIP!B:B,MATCH(A800,[1]FSHIP!A:A,0)),
    IFERROR(
        INDEX([1]釣具商品ship!B:B,MATCH(A800,[1]釣具商品ship!A:A,0)),
        IFERROR(
            INDEX([1]玩具商品ship!B:B,MATCH(A800,[1]玩具商品ship!A:A,0)),
            IFERROR(
                INDEX([1]OEMship!B:B,MATCH(A800,[1]OEMship!A:A,0)),
                IFERROR(
                    INDEX([1]NV6ship!B:B,MATCH(A800,[1]NV6ship!A:A,0)),
                    IFERROR(
                        INDEX([1]NVship!B:B,MATCH(A800,[1]NVship!A:A,0)),
                        IFERROR(
                            INDEX([1]海ship!B:B,MATCH(A800,[1]海ship!A:A,0)),
                            IFERROR(
                                INDEX([1]ｾﾚship!B:B,MATCH(A800,[1]ｾﾚship!A:A,0)),
                                IFERROR(
                                    INDEX([1]ｾﾚﾓﾆｰ商品ship!B:B,MATCH(A800,[1]ｾﾚﾓﾆｰ商品ship!A:A,0)),
                                    INDEX([2]NV!D:D,MATCH(A800,[2]NV!C:C,0))
                                )
                            )
                        )
                    )
                )
            )
        )
    )
)</f>
        <v>17mm ﾀﾞﾎﾞ受けｱﾀﾞﾌﾟﾀｰ(受け具)</v>
      </c>
      <c r="C800" s="4" t="s">
        <v>599</v>
      </c>
      <c r="D800" s="4" t="str">
        <f t="shared" si="36"/>
        <v>17mm ﾀﾞﾎﾞ受けｱﾀﾞﾌﾟﾀｰ(受け具) ｜ 資材倉庫・Irod【11】 ｜ G-1</v>
      </c>
      <c r="E800" s="11" t="str">
        <f t="shared" si="37"/>
        <v>資材倉庫・Irod</v>
      </c>
      <c r="F800" s="12" t="s">
        <v>572</v>
      </c>
      <c r="G800" s="11" t="str">
        <f t="shared" si="38"/>
        <v>11・資材倉庫・IrodG-1</v>
      </c>
    </row>
    <row r="801" spans="1:7" ht="15" customHeight="1" x14ac:dyDescent="0.2">
      <c r="A801" s="10" t="s">
        <v>596</v>
      </c>
      <c r="B801" s="10" t="str">
        <f>IFERROR(
    INDEX([1]FSHIP!B:B,MATCH(A801,[1]FSHIP!A:A,0)),
    IFERROR(
        INDEX([1]釣具商品ship!B:B,MATCH(A801,[1]釣具商品ship!A:A,0)),
        IFERROR(
            INDEX([1]玩具商品ship!B:B,MATCH(A801,[1]玩具商品ship!A:A,0)),
            IFERROR(
                INDEX([1]OEMship!B:B,MATCH(A801,[1]OEMship!A:A,0)),
                IFERROR(
                    INDEX([1]NV6ship!B:B,MATCH(A801,[1]NV6ship!A:A,0)),
                    IFERROR(
                        INDEX([1]NVship!B:B,MATCH(A801,[1]NVship!A:A,0)),
                        IFERROR(
                            INDEX([1]海ship!B:B,MATCH(A801,[1]海ship!A:A,0)),
                            IFERROR(
                                INDEX([1]ｾﾚship!B:B,MATCH(A801,[1]ｾﾚship!A:A,0)),
                                IFERROR(
                                    INDEX([1]ｾﾚﾓﾆｰ商品ship!B:B,MATCH(A801,[1]ｾﾚﾓﾆｰ商品ship!A:A,0)),
                                    INDEX([2]NV!D:D,MATCH(A801,[2]NV!C:C,0))
                                )
                            )
                        )
                    )
                )
            )
        )
    )
)</f>
        <v>ﾀﾞﾎﾞ受けｱﾀﾞﾌﾟﾀｰ用ねじ</v>
      </c>
      <c r="C801" s="4" t="s">
        <v>599</v>
      </c>
      <c r="D801" s="4" t="str">
        <f t="shared" si="36"/>
        <v>ﾀﾞﾎﾞ受けｱﾀﾞﾌﾟﾀｰ用ねじ ｜ 資材倉庫・Irod【11】 ｜ G-1</v>
      </c>
      <c r="E801" s="11" t="str">
        <f t="shared" si="37"/>
        <v>資材倉庫・Irod</v>
      </c>
      <c r="F801" s="12" t="s">
        <v>572</v>
      </c>
      <c r="G801" s="11" t="str">
        <f t="shared" si="38"/>
        <v>11・資材倉庫・IrodG-1</v>
      </c>
    </row>
    <row r="802" spans="1:7" ht="15" customHeight="1" x14ac:dyDescent="0.2">
      <c r="A802" s="10" t="s">
        <v>622</v>
      </c>
      <c r="B802" s="10" t="str">
        <f>IFERROR(
    INDEX([1]FSHIP!B:B,MATCH(A802,[1]FSHIP!A:A,0)),
    IFERROR(
        INDEX([1]釣具商品ship!B:B,MATCH(A802,[1]釣具商品ship!A:A,0)),
        IFERROR(
            INDEX([1]玩具商品ship!B:B,MATCH(A802,[1]玩具商品ship!A:A,0)),
            IFERROR(
                INDEX([1]OEMship!B:B,MATCH(A802,[1]OEMship!A:A,0)),
                IFERROR(
                    INDEX([1]NV6ship!B:B,MATCH(A802,[1]NV6ship!A:A,0)),
                    IFERROR(
                        INDEX([1]NVship!B:B,MATCH(A802,[1]NVship!A:A,0)),
                        IFERROR(
                            INDEX([1]海ship!B:B,MATCH(A802,[1]海ship!A:A,0)),
                            IFERROR(
                                INDEX([1]ｾﾚship!B:B,MATCH(A802,[1]ｾﾚship!A:A,0)),
                                IFERROR(
                                    INDEX([1]ｾﾚﾓﾆｰ商品ship!B:B,MATCH(A802,[1]ｾﾚﾓﾆｰ商品ship!A:A,0)),
                                    INDEX([2]NV!D:D,MATCH(A802,[2]NV!C:C,0))
                                )
                            )
                        )
                    )
                )
            )
        )
    )
)</f>
        <v>クランプ調節用六角レンチ</v>
      </c>
      <c r="C802" s="4" t="s">
        <v>621</v>
      </c>
      <c r="D802" s="4" t="str">
        <f t="shared" si="36"/>
        <v>クランプ調節用六角レンチ ｜ 資材倉庫・Irod【11】 ｜ H-1</v>
      </c>
      <c r="E802" s="11" t="str">
        <f t="shared" si="37"/>
        <v>資材倉庫・Irod</v>
      </c>
      <c r="F802" s="12" t="s">
        <v>572</v>
      </c>
      <c r="G802" s="11" t="str">
        <f t="shared" si="38"/>
        <v>11・資材倉庫・IrodH-1</v>
      </c>
    </row>
    <row r="803" spans="1:7" ht="15" customHeight="1" x14ac:dyDescent="0.2">
      <c r="A803" s="10" t="s">
        <v>595</v>
      </c>
      <c r="B803" s="10" t="e">
        <f>IFERROR(
    INDEX([1]FSHIP!B:B,MATCH(A803,[1]FSHIP!A:A,0)),
    IFERROR(
        INDEX([1]釣具商品ship!B:B,MATCH(A803,[1]釣具商品ship!A:A,0)),
        IFERROR(
            INDEX([1]玩具商品ship!B:B,MATCH(A803,[1]玩具商品ship!A:A,0)),
            IFERROR(
                INDEX([1]OEMship!B:B,MATCH(A803,[1]OEMship!A:A,0)),
                IFERROR(
                    INDEX([1]NV6ship!B:B,MATCH(A803,[1]NV6ship!A:A,0)),
                    IFERROR(
                        INDEX([1]NVship!B:B,MATCH(A803,[1]NVship!A:A,0)),
                        IFERROR(
                            INDEX([1]海ship!B:B,MATCH(A803,[1]海ship!A:A,0)),
                            IFERROR(
                                INDEX([1]ｾﾚship!B:B,MATCH(A803,[1]ｾﾚship!A:A,0)),
                                IFERROR(
                                    INDEX([1]ｾﾚﾓﾆｰ商品ship!B:B,MATCH(A803,[1]ｾﾚﾓﾆｰ商品ship!A:A,0)),
                                    INDEX([2]NV!D:D,MATCH(A803,[2]NV!C:C,0))
                                )
                            )
                        )
                    )
                )
            )
        )
    )
)</f>
        <v>#N/A</v>
      </c>
      <c r="C803" s="4" t="s">
        <v>599</v>
      </c>
      <c r="D803" s="4" t="e">
        <f t="shared" si="36"/>
        <v>#N/A</v>
      </c>
      <c r="E803" s="11" t="str">
        <f t="shared" si="37"/>
        <v>資材倉庫・Irod</v>
      </c>
      <c r="F803" s="12" t="s">
        <v>572</v>
      </c>
      <c r="G803" s="11" t="str">
        <f t="shared" si="38"/>
        <v>11・資材倉庫・IrodG-1</v>
      </c>
    </row>
    <row r="804" spans="1:7" ht="15" customHeight="1" x14ac:dyDescent="0.2">
      <c r="A804" s="10" t="s">
        <v>637</v>
      </c>
      <c r="B804" s="10" t="str">
        <f>IFERROR(
    INDEX([1]FSHIP!B:B,MATCH(A804,[1]FSHIP!A:A,0)),
    IFERROR(
        INDEX([1]釣具商品ship!B:B,MATCH(A804,[1]釣具商品ship!A:A,0)),
        IFERROR(
            INDEX([1]玩具商品ship!B:B,MATCH(A804,[1]玩具商品ship!A:A,0)),
            IFERROR(
                INDEX([1]OEMship!B:B,MATCH(A804,[1]OEMship!A:A,0)),
                IFERROR(
                    INDEX([1]NV6ship!B:B,MATCH(A804,[1]NV6ship!A:A,0)),
                    IFERROR(
                        INDEX([1]NVship!B:B,MATCH(A804,[1]NVship!A:A,0)),
                        IFERROR(
                            INDEX([1]海ship!B:B,MATCH(A804,[1]海ship!A:A,0)),
                            IFERROR(
                                INDEX([1]ｾﾚship!B:B,MATCH(A804,[1]ｾﾚship!A:A,0)),
                                IFERROR(
                                    INDEX([1]ｾﾚﾓﾆｰ商品ship!B:B,MATCH(A804,[1]ｾﾚﾓﾆｰ商品ship!A:A,0)),
                                    INDEX([2]NV!D:D,MATCH(A804,[2]NV!C:C,0))
                                )
                            )
                        )
                    )
                )
            )
        )
    )
)</f>
        <v>保護棒(ﾅｲﾄﾗｲﾄ用）</v>
      </c>
      <c r="C804" s="4" t="s">
        <v>472</v>
      </c>
      <c r="D804" s="10" t="str">
        <f t="shared" si="36"/>
        <v>保護棒(ﾅｲﾄﾗｲﾄ用） ｜ 資材倉庫・ノベルティ【10】 ｜ A-1</v>
      </c>
      <c r="E804" s="11" t="str">
        <f t="shared" si="37"/>
        <v>資材倉庫・ノベルティ</v>
      </c>
      <c r="F804" s="12" t="s">
        <v>674</v>
      </c>
      <c r="G804" s="11" t="str">
        <f t="shared" si="38"/>
        <v>10・資材倉庫・ノベルティA-1</v>
      </c>
    </row>
    <row r="805" spans="1:7" ht="15" customHeight="1" x14ac:dyDescent="0.2">
      <c r="A805" s="14" t="s">
        <v>813</v>
      </c>
      <c r="B805" s="10" t="e">
        <f>IFERROR(
    INDEX([1]FSHIP!B:B,MATCH(A805,[1]FSHIP!A:A,0)),
    IFERROR(
        INDEX([1]釣具商品ship!B:B,MATCH(A805,[1]釣具商品ship!A:A,0)),
        IFERROR(
            INDEX([1]玩具商品ship!B:B,MATCH(A805,[1]玩具商品ship!A:A,0)),
            IFERROR(
                INDEX([1]OEMship!B:B,MATCH(A805,[1]OEMship!A:A,0)),
                IFERROR(
                    INDEX([1]NV6ship!B:B,MATCH(A805,[1]NV6ship!A:A,0)),
                    IFERROR(
                        INDEX([1]NVship!B:B,MATCH(A805,[1]NVship!A:A,0)),
                        IFERROR(
                            INDEX([1]海ship!B:B,MATCH(A805,[1]海ship!A:A,0)),
                            IFERROR(
                                INDEX([1]ｾﾚship!B:B,MATCH(A805,[1]ｾﾚship!A:A,0)),
                                IFERROR(
                                    INDEX([1]ｾﾚﾓﾆｰ商品ship!B:B,MATCH(A805,[1]ｾﾚﾓﾆｰ商品ship!A:A,0)),
                                    INDEX([2]NV!D:D,MATCH(A805,[2]NV!C:C,0))
                                )
                            )
                        )
                    )
                )
            )
        )
    )
)</f>
        <v>#N/A</v>
      </c>
      <c r="C805" s="16" t="s">
        <v>802</v>
      </c>
      <c r="D805" s="4" t="e">
        <f t="shared" si="36"/>
        <v>#N/A</v>
      </c>
      <c r="E805" s="11" t="str">
        <f t="shared" si="37"/>
        <v>2F</v>
      </c>
      <c r="F805" s="12" t="s">
        <v>803</v>
      </c>
      <c r="G805" s="11" t="str">
        <f t="shared" si="38"/>
        <v>05・2FA-1</v>
      </c>
    </row>
    <row r="806" spans="1:7" ht="15" customHeight="1" x14ac:dyDescent="0.2">
      <c r="A806" s="14" t="s">
        <v>783</v>
      </c>
      <c r="B806" s="10" t="str">
        <f>IFERROR(
    INDEX([1]FSHIP!B:B,MATCH(A806,[1]FSHIP!A:A,0)),
    IFERROR(
        INDEX([1]釣具商品ship!B:B,MATCH(A806,[1]釣具商品ship!A:A,0)),
        IFERROR(
            INDEX([1]玩具商品ship!B:B,MATCH(A806,[1]玩具商品ship!A:A,0)),
            IFERROR(
                INDEX([1]OEMship!B:B,MATCH(A806,[1]OEMship!A:A,0)),
                IFERROR(
                    INDEX([1]NV6ship!B:B,MATCH(A806,[1]NV6ship!A:A,0)),
                    IFERROR(
                        INDEX([1]NVship!B:B,MATCH(A806,[1]NVship!A:A,0)),
                        IFERROR(
                            INDEX([1]海ship!B:B,MATCH(A806,[1]海ship!A:A,0)),
                            IFERROR(
                                INDEX([1]ｾﾚship!B:B,MATCH(A806,[1]ｾﾚship!A:A,0)),
                                IFERROR(
                                    INDEX([1]ｾﾚﾓﾆｰ商品ship!B:B,MATCH(A806,[1]ｾﾚﾓﾆｰ商品ship!A:A,0)),
                                    INDEX([2]NV!D:D,MATCH(A806,[2]NV!C:C,0))
                                )
                            )
                        )
                    )
                )
            )
        )
    )
)</f>
        <v>Bi Rod 6C-7500  1段目</v>
      </c>
      <c r="C806" s="16" t="s">
        <v>799</v>
      </c>
      <c r="D806" s="4" t="str">
        <f t="shared" si="36"/>
        <v>Bi Rod 6C-7500  1段目 ｜ 資材倉庫・2F【X99】 ｜ 2F</v>
      </c>
      <c r="E806" s="11" t="str">
        <f t="shared" si="37"/>
        <v>資材倉庫・2F</v>
      </c>
      <c r="F806" s="12" t="s">
        <v>748</v>
      </c>
      <c r="G806" s="11" t="str">
        <f t="shared" si="38"/>
        <v>X99・資材倉庫・2F2F</v>
      </c>
    </row>
    <row r="807" spans="1:7" ht="15" customHeight="1" x14ac:dyDescent="0.2">
      <c r="A807" s="14" t="s">
        <v>784</v>
      </c>
      <c r="B807" s="10" t="str">
        <f>IFERROR(
    INDEX([1]FSHIP!B:B,MATCH(A807,[1]FSHIP!A:A,0)),
    IFERROR(
        INDEX([1]釣具商品ship!B:B,MATCH(A807,[1]釣具商品ship!A:A,0)),
        IFERROR(
            INDEX([1]玩具商品ship!B:B,MATCH(A807,[1]玩具商品ship!A:A,0)),
            IFERROR(
                INDEX([1]OEMship!B:B,MATCH(A807,[1]OEMship!A:A,0)),
                IFERROR(
                    INDEX([1]NV6ship!B:B,MATCH(A807,[1]NV6ship!A:A,0)),
                    IFERROR(
                        INDEX([1]NVship!B:B,MATCH(A807,[1]NVship!A:A,0)),
                        IFERROR(
                            INDEX([1]海ship!B:B,MATCH(A807,[1]海ship!A:A,0)),
                            IFERROR(
                                INDEX([1]ｾﾚship!B:B,MATCH(A807,[1]ｾﾚship!A:A,0)),
                                IFERROR(
                                    INDEX([1]ｾﾚﾓﾆｰ商品ship!B:B,MATCH(A807,[1]ｾﾚﾓﾆｰ商品ship!A:A,0)),
                                    INDEX([2]NV!D:D,MATCH(A807,[2]NV!C:C,0))
                                )
                            )
                        )
                    )
                )
            )
        )
    )
)</f>
        <v>Bi Rod 6C-7500  2段目</v>
      </c>
      <c r="C807" s="16" t="s">
        <v>799</v>
      </c>
      <c r="D807" s="4" t="str">
        <f t="shared" si="36"/>
        <v>Bi Rod 6C-7500  2段目 ｜ 資材倉庫・2F【X99】 ｜ 2F</v>
      </c>
      <c r="E807" s="11" t="str">
        <f t="shared" si="37"/>
        <v>資材倉庫・2F</v>
      </c>
      <c r="F807" s="12" t="s">
        <v>748</v>
      </c>
      <c r="G807" s="11" t="str">
        <f t="shared" si="38"/>
        <v>X99・資材倉庫・2F2F</v>
      </c>
    </row>
    <row r="808" spans="1:7" ht="15" customHeight="1" x14ac:dyDescent="0.2">
      <c r="A808" s="14" t="s">
        <v>785</v>
      </c>
      <c r="B808" s="10" t="str">
        <f>IFERROR(
    INDEX([1]FSHIP!B:B,MATCH(A808,[1]FSHIP!A:A,0)),
    IFERROR(
        INDEX([1]釣具商品ship!B:B,MATCH(A808,[1]釣具商品ship!A:A,0)),
        IFERROR(
            INDEX([1]玩具商品ship!B:B,MATCH(A808,[1]玩具商品ship!A:A,0)),
            IFERROR(
                INDEX([1]OEMship!B:B,MATCH(A808,[1]OEMship!A:A,0)),
                IFERROR(
                    INDEX([1]NV6ship!B:B,MATCH(A808,[1]NV6ship!A:A,0)),
                    IFERROR(
                        INDEX([1]NVship!B:B,MATCH(A808,[1]NVship!A:A,0)),
                        IFERROR(
                            INDEX([1]海ship!B:B,MATCH(A808,[1]海ship!A:A,0)),
                            IFERROR(
                                INDEX([1]ｾﾚship!B:B,MATCH(A808,[1]ｾﾚship!A:A,0)),
                                IFERROR(
                                    INDEX([1]ｾﾚﾓﾆｰ商品ship!B:B,MATCH(A808,[1]ｾﾚﾓﾆｰ商品ship!A:A,0)),
                                    INDEX([2]NV!D:D,MATCH(A808,[2]NV!C:C,0))
                                )
                            )
                        )
                    )
                )
            )
        )
    )
)</f>
        <v>Bi Rod 6C-7500  3段目</v>
      </c>
      <c r="C808" s="16" t="s">
        <v>799</v>
      </c>
      <c r="D808" s="4" t="str">
        <f t="shared" si="36"/>
        <v>Bi Rod 6C-7500  3段目 ｜ 資材倉庫・2F【X99】 ｜ 2F</v>
      </c>
      <c r="E808" s="11" t="str">
        <f t="shared" si="37"/>
        <v>資材倉庫・2F</v>
      </c>
      <c r="F808" s="12" t="s">
        <v>748</v>
      </c>
      <c r="G808" s="11" t="str">
        <f t="shared" si="38"/>
        <v>X99・資材倉庫・2F2F</v>
      </c>
    </row>
    <row r="809" spans="1:7" ht="15" customHeight="1" x14ac:dyDescent="0.2">
      <c r="A809" s="14" t="s">
        <v>786</v>
      </c>
      <c r="B809" s="10" t="str">
        <f>IFERROR(
    INDEX([1]FSHIP!B:B,MATCH(A809,[1]FSHIP!A:A,0)),
    IFERROR(
        INDEX([1]釣具商品ship!B:B,MATCH(A809,[1]釣具商品ship!A:A,0)),
        IFERROR(
            INDEX([1]玩具商品ship!B:B,MATCH(A809,[1]玩具商品ship!A:A,0)),
            IFERROR(
                INDEX([1]OEMship!B:B,MATCH(A809,[1]OEMship!A:A,0)),
                IFERROR(
                    INDEX([1]NV6ship!B:B,MATCH(A809,[1]NV6ship!A:A,0)),
                    IFERROR(
                        INDEX([1]NVship!B:B,MATCH(A809,[1]NVship!A:A,0)),
                        IFERROR(
                            INDEX([1]海ship!B:B,MATCH(A809,[1]海ship!A:A,0)),
                            IFERROR(
                                INDEX([1]ｾﾚship!B:B,MATCH(A809,[1]ｾﾚship!A:A,0)),
                                IFERROR(
                                    INDEX([1]ｾﾚﾓﾆｰ商品ship!B:B,MATCH(A809,[1]ｾﾚﾓﾆｰ商品ship!A:A,0)),
                                    INDEX([2]NV!D:D,MATCH(A809,[2]NV!C:C,0))
                                )
                            )
                        )
                    )
                )
            )
        )
    )
)</f>
        <v>Bi Rod 6C-7500  4段目</v>
      </c>
      <c r="C809" s="16" t="s">
        <v>799</v>
      </c>
      <c r="D809" s="4" t="str">
        <f t="shared" si="36"/>
        <v>Bi Rod 6C-7500  4段目 ｜ 資材倉庫・2F【X99】 ｜ 2F</v>
      </c>
      <c r="E809" s="11" t="str">
        <f t="shared" si="37"/>
        <v>資材倉庫・2F</v>
      </c>
      <c r="F809" s="12" t="s">
        <v>748</v>
      </c>
      <c r="G809" s="11" t="str">
        <f t="shared" si="38"/>
        <v>X99・資材倉庫・2F2F</v>
      </c>
    </row>
    <row r="810" spans="1:7" ht="15" customHeight="1" x14ac:dyDescent="0.2">
      <c r="A810" s="14" t="s">
        <v>787</v>
      </c>
      <c r="B810" s="10" t="str">
        <f>IFERROR(
    INDEX([1]FSHIP!B:B,MATCH(A810,[1]FSHIP!A:A,0)),
    IFERROR(
        INDEX([1]釣具商品ship!B:B,MATCH(A810,[1]釣具商品ship!A:A,0)),
        IFERROR(
            INDEX([1]玩具商品ship!B:B,MATCH(A810,[1]玩具商品ship!A:A,0)),
            IFERROR(
                INDEX([1]OEMship!B:B,MATCH(A810,[1]OEMship!A:A,0)),
                IFERROR(
                    INDEX([1]NV6ship!B:B,MATCH(A810,[1]NV6ship!A:A,0)),
                    IFERROR(
                        INDEX([1]NVship!B:B,MATCH(A810,[1]NVship!A:A,0)),
                        IFERROR(
                            INDEX([1]海ship!B:B,MATCH(A810,[1]海ship!A:A,0)),
                            IFERROR(
                                INDEX([1]ｾﾚship!B:B,MATCH(A810,[1]ｾﾚship!A:A,0)),
                                IFERROR(
                                    INDEX([1]ｾﾚﾓﾆｰ商品ship!B:B,MATCH(A810,[1]ｾﾚﾓﾆｰ商品ship!A:A,0)),
                                    INDEX([2]NV!D:D,MATCH(A810,[2]NV!C:C,0))
                                )
                            )
                        )
                    )
                )
            )
        )
    )
)</f>
        <v>Bi Rod 6C-7500  5段目</v>
      </c>
      <c r="C810" s="16" t="s">
        <v>799</v>
      </c>
      <c r="D810" s="4" t="str">
        <f t="shared" si="36"/>
        <v>Bi Rod 6C-7500  5段目 ｜ 資材倉庫・2F【X99】 ｜ 2F</v>
      </c>
      <c r="E810" s="11" t="str">
        <f t="shared" si="37"/>
        <v>資材倉庫・2F</v>
      </c>
      <c r="F810" s="12" t="s">
        <v>748</v>
      </c>
      <c r="G810" s="11" t="str">
        <f t="shared" si="38"/>
        <v>X99・資材倉庫・2F2F</v>
      </c>
    </row>
    <row r="811" spans="1:7" ht="15" customHeight="1" x14ac:dyDescent="0.2">
      <c r="A811" s="14" t="s">
        <v>788</v>
      </c>
      <c r="B811" s="10" t="str">
        <f>IFERROR(
    INDEX([1]FSHIP!B:B,MATCH(A811,[1]FSHIP!A:A,0)),
    IFERROR(
        INDEX([1]釣具商品ship!B:B,MATCH(A811,[1]釣具商品ship!A:A,0)),
        IFERROR(
            INDEX([1]玩具商品ship!B:B,MATCH(A811,[1]玩具商品ship!A:A,0)),
            IFERROR(
                INDEX([1]OEMship!B:B,MATCH(A811,[1]OEMship!A:A,0)),
                IFERROR(
                    INDEX([1]NV6ship!B:B,MATCH(A811,[1]NV6ship!A:A,0)),
                    IFERROR(
                        INDEX([1]NVship!B:B,MATCH(A811,[1]NVship!A:A,0)),
                        IFERROR(
                            INDEX([1]海ship!B:B,MATCH(A811,[1]海ship!A:A,0)),
                            IFERROR(
                                INDEX([1]ｾﾚship!B:B,MATCH(A811,[1]ｾﾚship!A:A,0)),
                                IFERROR(
                                    INDEX([1]ｾﾚﾓﾆｰ商品ship!B:B,MATCH(A811,[1]ｾﾚﾓﾆｰ商品ship!A:A,0)),
                                    INDEX([2]NV!D:D,MATCH(A811,[2]NV!C:C,0))
                                )
                            )
                        )
                    )
                )
            )
        )
    )
)</f>
        <v>Bi Rod 6C-7500　6段目</v>
      </c>
      <c r="C811" s="16" t="s">
        <v>799</v>
      </c>
      <c r="D811" s="4" t="str">
        <f t="shared" si="36"/>
        <v>Bi Rod 6C-7500　6段目 ｜ 資材倉庫・2F【X99】 ｜ 2F</v>
      </c>
      <c r="E811" s="11" t="str">
        <f t="shared" si="37"/>
        <v>資材倉庫・2F</v>
      </c>
      <c r="F811" s="12" t="s">
        <v>748</v>
      </c>
      <c r="G811" s="11" t="str">
        <f t="shared" si="38"/>
        <v>X99・資材倉庫・2F2F</v>
      </c>
    </row>
    <row r="812" spans="1:7" ht="15" customHeight="1" x14ac:dyDescent="0.2">
      <c r="A812" s="14" t="s">
        <v>789</v>
      </c>
      <c r="B812" s="10" t="str">
        <f>IFERROR(
    INDEX([1]FSHIP!B:B,MATCH(A812,[1]FSHIP!A:A,0)),
    IFERROR(
        INDEX([1]釣具商品ship!B:B,MATCH(A812,[1]釣具商品ship!A:A,0)),
        IFERROR(
            INDEX([1]玩具商品ship!B:B,MATCH(A812,[1]玩具商品ship!A:A,0)),
            IFERROR(
                INDEX([1]OEMship!B:B,MATCH(A812,[1]OEMship!A:A,0)),
                IFERROR(
                    INDEX([1]NV6ship!B:B,MATCH(A812,[1]NV6ship!A:A,0)),
                    IFERROR(
                        INDEX([1]NVship!B:B,MATCH(A812,[1]NVship!A:A,0)),
                        IFERROR(
                            INDEX([1]海ship!B:B,MATCH(A812,[1]海ship!A:A,0)),
                            IFERROR(
                                INDEX([1]ｾﾚship!B:B,MATCH(A812,[1]ｾﾚship!A:A,0)),
                                IFERROR(
                                    INDEX([1]ｾﾚﾓﾆｰ商品ship!B:B,MATCH(A812,[1]ｾﾚﾓﾆｰ商品ship!A:A,0)),
                                    INDEX([2]NV!D:D,MATCH(A812,[2]NV!C:C,0))
                                )
                            )
                        )
                    )
                )
            )
        )
    )
)</f>
        <v>Bi Rod 6G-7500　1段目</v>
      </c>
      <c r="C812" s="16" t="s">
        <v>799</v>
      </c>
      <c r="D812" s="4" t="str">
        <f t="shared" si="36"/>
        <v>Bi Rod 6G-7500　1段目 ｜ 資材倉庫・2F【X99】 ｜ 2F</v>
      </c>
      <c r="E812" s="11" t="str">
        <f t="shared" si="37"/>
        <v>資材倉庫・2F</v>
      </c>
      <c r="F812" s="12" t="s">
        <v>748</v>
      </c>
      <c r="G812" s="11" t="str">
        <f t="shared" si="38"/>
        <v>X99・資材倉庫・2F2F</v>
      </c>
    </row>
    <row r="813" spans="1:7" ht="15" customHeight="1" x14ac:dyDescent="0.2">
      <c r="A813" s="14" t="s">
        <v>790</v>
      </c>
      <c r="B813" s="10" t="str">
        <f>IFERROR(
    INDEX([1]FSHIP!B:B,MATCH(A813,[1]FSHIP!A:A,0)),
    IFERROR(
        INDEX([1]釣具商品ship!B:B,MATCH(A813,[1]釣具商品ship!A:A,0)),
        IFERROR(
            INDEX([1]玩具商品ship!B:B,MATCH(A813,[1]玩具商品ship!A:A,0)),
            IFERROR(
                INDEX([1]OEMship!B:B,MATCH(A813,[1]OEMship!A:A,0)),
                IFERROR(
                    INDEX([1]NV6ship!B:B,MATCH(A813,[1]NV6ship!A:A,0)),
                    IFERROR(
                        INDEX([1]NVship!B:B,MATCH(A813,[1]NVship!A:A,0)),
                        IFERROR(
                            INDEX([1]海ship!B:B,MATCH(A813,[1]海ship!A:A,0)),
                            IFERROR(
                                INDEX([1]ｾﾚship!B:B,MATCH(A813,[1]ｾﾚship!A:A,0)),
                                IFERROR(
                                    INDEX([1]ｾﾚﾓﾆｰ商品ship!B:B,MATCH(A813,[1]ｾﾚﾓﾆｰ商品ship!A:A,0)),
                                    INDEX([2]NV!D:D,MATCH(A813,[2]NV!C:C,0))
                                )
                            )
                        )
                    )
                )
            )
        )
    )
)</f>
        <v>Bi Rod 6G-7500　2段目</v>
      </c>
      <c r="C813" s="16" t="s">
        <v>799</v>
      </c>
      <c r="D813" s="4" t="str">
        <f t="shared" si="36"/>
        <v>Bi Rod 6G-7500　2段目 ｜ 資材倉庫・2F【X99】 ｜ 2F</v>
      </c>
      <c r="E813" s="11" t="str">
        <f t="shared" si="37"/>
        <v>資材倉庫・2F</v>
      </c>
      <c r="F813" s="12" t="s">
        <v>748</v>
      </c>
      <c r="G813" s="11" t="str">
        <f t="shared" si="38"/>
        <v>X99・資材倉庫・2F2F</v>
      </c>
    </row>
    <row r="814" spans="1:7" ht="15" customHeight="1" x14ac:dyDescent="0.2">
      <c r="A814" s="14" t="s">
        <v>791</v>
      </c>
      <c r="B814" s="10" t="str">
        <f>IFERROR(
    INDEX([1]FSHIP!B:B,MATCH(A814,[1]FSHIP!A:A,0)),
    IFERROR(
        INDEX([1]釣具商品ship!B:B,MATCH(A814,[1]釣具商品ship!A:A,0)),
        IFERROR(
            INDEX([1]玩具商品ship!B:B,MATCH(A814,[1]玩具商品ship!A:A,0)),
            IFERROR(
                INDEX([1]OEMship!B:B,MATCH(A814,[1]OEMship!A:A,0)),
                IFERROR(
                    INDEX([1]NV6ship!B:B,MATCH(A814,[1]NV6ship!A:A,0)),
                    IFERROR(
                        INDEX([1]NVship!B:B,MATCH(A814,[1]NVship!A:A,0)),
                        IFERROR(
                            INDEX([1]海ship!B:B,MATCH(A814,[1]海ship!A:A,0)),
                            IFERROR(
                                INDEX([1]ｾﾚship!B:B,MATCH(A814,[1]ｾﾚship!A:A,0)),
                                IFERROR(
                                    INDEX([1]ｾﾚﾓﾆｰ商品ship!B:B,MATCH(A814,[1]ｾﾚﾓﾆｰ商品ship!A:A,0)),
                                    INDEX([2]NV!D:D,MATCH(A814,[2]NV!C:C,0))
                                )
                            )
                        )
                    )
                )
            )
        )
    )
)</f>
        <v>Bi Rod 6G-7500　3段目</v>
      </c>
      <c r="C814" s="16" t="s">
        <v>799</v>
      </c>
      <c r="D814" s="4" t="str">
        <f t="shared" si="36"/>
        <v>Bi Rod 6G-7500　3段目 ｜ 資材倉庫・2F【X99】 ｜ 2F</v>
      </c>
      <c r="E814" s="11" t="str">
        <f t="shared" si="37"/>
        <v>資材倉庫・2F</v>
      </c>
      <c r="F814" s="12" t="s">
        <v>748</v>
      </c>
      <c r="G814" s="11" t="str">
        <f t="shared" si="38"/>
        <v>X99・資材倉庫・2F2F</v>
      </c>
    </row>
    <row r="815" spans="1:7" ht="15" customHeight="1" x14ac:dyDescent="0.2">
      <c r="A815" s="14" t="s">
        <v>792</v>
      </c>
      <c r="B815" s="10" t="str">
        <f>IFERROR(
    INDEX([1]FSHIP!B:B,MATCH(A815,[1]FSHIP!A:A,0)),
    IFERROR(
        INDEX([1]釣具商品ship!B:B,MATCH(A815,[1]釣具商品ship!A:A,0)),
        IFERROR(
            INDEX([1]玩具商品ship!B:B,MATCH(A815,[1]玩具商品ship!A:A,0)),
            IFERROR(
                INDEX([1]OEMship!B:B,MATCH(A815,[1]OEMship!A:A,0)),
                IFERROR(
                    INDEX([1]NV6ship!B:B,MATCH(A815,[1]NV6ship!A:A,0)),
                    IFERROR(
                        INDEX([1]NVship!B:B,MATCH(A815,[1]NVship!A:A,0)),
                        IFERROR(
                            INDEX([1]海ship!B:B,MATCH(A815,[1]海ship!A:A,0)),
                            IFERROR(
                                INDEX([1]ｾﾚship!B:B,MATCH(A815,[1]ｾﾚship!A:A,0)),
                                IFERROR(
                                    INDEX([1]ｾﾚﾓﾆｰ商品ship!B:B,MATCH(A815,[1]ｾﾚﾓﾆｰ商品ship!A:A,0)),
                                    INDEX([2]NV!D:D,MATCH(A815,[2]NV!C:C,0))
                                )
                            )
                        )
                    )
                )
            )
        )
    )
)</f>
        <v>Bi Rod 6G-7500　4段目</v>
      </c>
      <c r="C815" s="16" t="s">
        <v>799</v>
      </c>
      <c r="D815" s="4" t="str">
        <f t="shared" si="36"/>
        <v>Bi Rod 6G-7500　4段目 ｜ 資材倉庫・2F【X99】 ｜ 2F</v>
      </c>
      <c r="E815" s="11" t="str">
        <f t="shared" si="37"/>
        <v>資材倉庫・2F</v>
      </c>
      <c r="F815" s="12" t="s">
        <v>748</v>
      </c>
      <c r="G815" s="11" t="str">
        <f t="shared" si="38"/>
        <v>X99・資材倉庫・2F2F</v>
      </c>
    </row>
    <row r="816" spans="1:7" ht="15" customHeight="1" x14ac:dyDescent="0.2">
      <c r="A816" s="10" t="s">
        <v>589</v>
      </c>
      <c r="B816" s="10" t="str">
        <f>IFERROR(
    INDEX([1]FSHIP!B:B,MATCH(A816,[1]FSHIP!A:A,0)),
    IFERROR(
        INDEX([1]釣具商品ship!B:B,MATCH(A816,[1]釣具商品ship!A:A,0)),
        IFERROR(
            INDEX([1]玩具商品ship!B:B,MATCH(A816,[1]玩具商品ship!A:A,0)),
            IFERROR(
                INDEX([1]OEMship!B:B,MATCH(A816,[1]OEMship!A:A,0)),
                IFERROR(
                    INDEX([1]NV6ship!B:B,MATCH(A816,[1]NV6ship!A:A,0)),
                    IFERROR(
                        INDEX([1]NVship!B:B,MATCH(A816,[1]NVship!A:A,0)),
                        IFERROR(
                            INDEX([1]海ship!B:B,MATCH(A816,[1]海ship!A:A,0)),
                            IFERROR(
                                INDEX([1]ｾﾚship!B:B,MATCH(A816,[1]ｾﾚship!A:A,0)),
                                IFERROR(
                                    INDEX([1]ｾﾚﾓﾆｰ商品ship!B:B,MATCH(A816,[1]ｾﾚﾓﾆｰ商品ship!A:A,0)),
                                    INDEX([2]NV!D:D,MATCH(A816,[2]NV!C:C,0))
                                )
                            )
                        )
                    )
                )
            )
        )
    )
)</f>
        <v>11500三脚用上部スペーサー</v>
      </c>
      <c r="C816" s="4" t="s">
        <v>599</v>
      </c>
      <c r="D816" s="4" t="str">
        <f t="shared" si="36"/>
        <v>11500三脚用上部スペーサー ｜ 資材倉庫・Irod【11】 ｜ G-1</v>
      </c>
      <c r="E816" s="11" t="str">
        <f t="shared" si="37"/>
        <v>資材倉庫・Irod</v>
      </c>
      <c r="F816" s="12" t="s">
        <v>572</v>
      </c>
      <c r="G816" s="11" t="str">
        <f t="shared" si="38"/>
        <v>11・資材倉庫・IrodG-1</v>
      </c>
    </row>
    <row r="817" spans="1:7" ht="15" customHeight="1" x14ac:dyDescent="0.2">
      <c r="A817" s="10" t="s">
        <v>590</v>
      </c>
      <c r="B817" s="10" t="str">
        <f>IFERROR(
    INDEX([1]FSHIP!B:B,MATCH(A817,[1]FSHIP!A:A,0)),
    IFERROR(
        INDEX([1]釣具商品ship!B:B,MATCH(A817,[1]釣具商品ship!A:A,0)),
        IFERROR(
            INDEX([1]玩具商品ship!B:B,MATCH(A817,[1]玩具商品ship!A:A,0)),
            IFERROR(
                INDEX([1]OEMship!B:B,MATCH(A817,[1]OEMship!A:A,0)),
                IFERROR(
                    INDEX([1]NV6ship!B:B,MATCH(A817,[1]NV6ship!A:A,0)),
                    IFERROR(
                        INDEX([1]NVship!B:B,MATCH(A817,[1]NVship!A:A,0)),
                        IFERROR(
                            INDEX([1]海ship!B:B,MATCH(A817,[1]海ship!A:A,0)),
                            IFERROR(
                                INDEX([1]ｾﾚship!B:B,MATCH(A817,[1]ｾﾚship!A:A,0)),
                                IFERROR(
                                    INDEX([1]ｾﾚﾓﾆｰ商品ship!B:B,MATCH(A817,[1]ｾﾚﾓﾆｰ商品ship!A:A,0)),
                                    INDEX([2]NV!D:D,MATCH(A817,[2]NV!C:C,0))
                                )
                            )
                        )
                    )
                )
            )
        )
    )
)</f>
        <v>11500三脚用下部スペーサー</v>
      </c>
      <c r="C817" s="4" t="s">
        <v>599</v>
      </c>
      <c r="D817" s="4" t="str">
        <f t="shared" si="36"/>
        <v>11500三脚用下部スペーサー ｜ 資材倉庫・Irod【11】 ｜ G-1</v>
      </c>
      <c r="E817" s="11" t="str">
        <f t="shared" si="37"/>
        <v>資材倉庫・Irod</v>
      </c>
      <c r="F817" s="12" t="s">
        <v>572</v>
      </c>
      <c r="G817" s="11" t="str">
        <f t="shared" si="38"/>
        <v>11・資材倉庫・IrodG-1</v>
      </c>
    </row>
    <row r="818" spans="1:7" ht="15" customHeight="1" x14ac:dyDescent="0.2">
      <c r="A818" s="10" t="s">
        <v>616</v>
      </c>
      <c r="B818" s="10" t="str">
        <f>IFERROR(
    INDEX([1]FSHIP!B:B,MATCH(A818,[1]FSHIP!A:A,0)),
    IFERROR(
        INDEX([1]釣具商品ship!B:B,MATCH(A818,[1]釣具商品ship!A:A,0)),
        IFERROR(
            INDEX([1]玩具商品ship!B:B,MATCH(A818,[1]玩具商品ship!A:A,0)),
            IFERROR(
                INDEX([1]OEMship!B:B,MATCH(A818,[1]OEMship!A:A,0)),
                IFERROR(
                    INDEX([1]NV6ship!B:B,MATCH(A818,[1]NV6ship!A:A,0)),
                    IFERROR(
                        INDEX([1]NVship!B:B,MATCH(A818,[1]NVship!A:A,0)),
                        IFERROR(
                            INDEX([1]海ship!B:B,MATCH(A818,[1]海ship!A:A,0)),
                            IFERROR(
                                INDEX([1]ｾﾚship!B:B,MATCH(A818,[1]ｾﾚship!A:A,0)),
                                IFERROR(
                                    INDEX([1]ｾﾚﾓﾆｰ商品ship!B:B,MATCH(A818,[1]ｾﾚﾓﾆｰ商品ship!A:A,0)),
                                    INDEX([2]NV!D:D,MATCH(A818,[2]NV!C:C,0))
                                )
                            )
                        )
                    )
                )
            )
        )
    )
)</f>
        <v>スプリングスナップ</v>
      </c>
      <c r="C818" s="4" t="s">
        <v>609</v>
      </c>
      <c r="D818" s="4" t="str">
        <f t="shared" si="36"/>
        <v>スプリングスナップ ｜ 資材倉庫・Irod【11】 ｜ I-1</v>
      </c>
      <c r="E818" s="11" t="str">
        <f t="shared" si="37"/>
        <v>資材倉庫・Irod</v>
      </c>
      <c r="F818" s="12" t="s">
        <v>572</v>
      </c>
      <c r="G818" s="11" t="str">
        <f t="shared" si="38"/>
        <v>11・資材倉庫・IrodI-1</v>
      </c>
    </row>
    <row r="819" spans="1:7" ht="15" customHeight="1" x14ac:dyDescent="0.2">
      <c r="A819" s="10" t="s">
        <v>469</v>
      </c>
      <c r="B819" s="10" t="s">
        <v>915</v>
      </c>
      <c r="C819" s="4" t="s">
        <v>463</v>
      </c>
      <c r="D819" s="10" t="str">
        <f t="shared" si="36"/>
        <v>大閃光ブレードディスプレイスタンド(LUMICA) ｜ 1Fノベルティ【03】 ｜ C-1</v>
      </c>
      <c r="E819" s="11" t="str">
        <f t="shared" si="37"/>
        <v>1Fノベルティ</v>
      </c>
      <c r="F819" s="12" t="s">
        <v>367</v>
      </c>
      <c r="G819" s="11" t="str">
        <f t="shared" si="38"/>
        <v>03・1FノベルティC-1</v>
      </c>
    </row>
    <row r="820" spans="1:7" ht="15" customHeight="1" x14ac:dyDescent="0.2">
      <c r="A820" s="14" t="s">
        <v>912</v>
      </c>
      <c r="B820" s="10" t="str">
        <f>IFERROR(
    INDEX([1]FSHIP!B:B,MATCH(A820,[1]FSHIP!A:A,0)),
    IFERROR(
        INDEX([1]釣具商品ship!B:B,MATCH(A820,[1]釣具商品ship!A:A,0)),
        IFERROR(
            INDEX([1]玩具商品ship!B:B,MATCH(A820,[1]玩具商品ship!A:A,0)),
            IFERROR(
                INDEX([1]OEMship!B:B,MATCH(A820,[1]OEMship!A:A,0)),
                IFERROR(
                    INDEX([1]NV6ship!B:B,MATCH(A820,[1]NV6ship!A:A,0)),
                    IFERROR(
                        INDEX([1]NVship!B:B,MATCH(A820,[1]NVship!A:A,0)),
                        IFERROR(
                            INDEX([1]海ship!B:B,MATCH(A820,[1]海ship!A:A,0)),
                            IFERROR(
                                INDEX([1]ｾﾚship!B:B,MATCH(A820,[1]ｾﾚship!A:A,0)),
                                IFERROR(
                                    INDEX([1]ｾﾚﾓﾆｰ商品ship!B:B,MATCH(A820,[1]ｾﾚﾓﾆｰ商品ship!A:A,0)),
                                    INDEX([2]NV!D:D,MATCH(A820,[2]NV!C:C,0))
                                )
                            )
                        )
                    )
                )
            )
        )
    )
)</f>
        <v>ケミホタル25レッド（2本入）3枚セット</v>
      </c>
      <c r="C820" s="16" t="s">
        <v>911</v>
      </c>
      <c r="D820" s="10" t="str">
        <f t="shared" si="36"/>
        <v>ケミホタル25レッド（2本入）3枚セット ｜ 1F釣具部屋【04】 ｜ M</v>
      </c>
      <c r="E820" s="11" t="str">
        <f t="shared" ref="E820:E822" si="39">INDEX(K:K, MATCH(F820, J:J, 0))</f>
        <v>1F釣具部屋</v>
      </c>
      <c r="F820" s="12" t="s">
        <v>909</v>
      </c>
      <c r="G820" s="11" t="str">
        <f t="shared" ref="G820:G822" si="40">F820&amp;"・"&amp;E820&amp;C820</f>
        <v>04・1F釣具部屋M</v>
      </c>
    </row>
    <row r="821" spans="1:7" ht="15" customHeight="1" x14ac:dyDescent="0.2">
      <c r="A821" s="14" t="s">
        <v>913</v>
      </c>
      <c r="B821" s="10" t="str">
        <f>IFERROR(
    INDEX([1]FSHIP!B:B,MATCH(A821,[1]FSHIP!A:A,0)),
    IFERROR(
        INDEX([1]釣具商品ship!B:B,MATCH(A821,[1]釣具商品ship!A:A,0)),
        IFERROR(
            INDEX([1]玩具商品ship!B:B,MATCH(A821,[1]玩具商品ship!A:A,0)),
            IFERROR(
                INDEX([1]OEMship!B:B,MATCH(A821,[1]OEMship!A:A,0)),
                IFERROR(
                    INDEX([1]NV6ship!B:B,MATCH(A821,[1]NV6ship!A:A,0)),
                    IFERROR(
                        INDEX([1]NVship!B:B,MATCH(A821,[1]NVship!A:A,0)),
                        IFERROR(
                            INDEX([1]海ship!B:B,MATCH(A821,[1]海ship!A:A,0)),
                            IFERROR(
                                INDEX([1]ｾﾚship!B:B,MATCH(A821,[1]ｾﾚship!A:A,0)),
                                IFERROR(
                                    INDEX([1]ｾﾚﾓﾆｰ商品ship!B:B,MATCH(A821,[1]ｾﾚﾓﾆｰ商品ship!A:A,0)),
                                    INDEX([2]NV!D:D,MATCH(A821,[2]NV!C:C,0))
                                )
                            )
                        )
                    )
                )
            )
        )
    )
)</f>
        <v>ケミホタル37レッド（2本入）3枚セット</v>
      </c>
      <c r="C821" s="16" t="s">
        <v>911</v>
      </c>
      <c r="D821" s="10" t="str">
        <f t="shared" si="36"/>
        <v>ケミホタル37レッド（2本入）3枚セット ｜ 1F釣具部屋【04】 ｜ M</v>
      </c>
      <c r="E821" s="11" t="str">
        <f t="shared" si="39"/>
        <v>1F釣具部屋</v>
      </c>
      <c r="F821" s="12" t="s">
        <v>910</v>
      </c>
      <c r="G821" s="11" t="str">
        <f t="shared" si="40"/>
        <v>04・1F釣具部屋M</v>
      </c>
    </row>
    <row r="822" spans="1:7" ht="15" customHeight="1" x14ac:dyDescent="0.2">
      <c r="A822" s="14" t="s">
        <v>914</v>
      </c>
      <c r="B822" s="10" t="str">
        <f>IFERROR(
    INDEX([1]FSHIP!B:B,MATCH(A822,[1]FSHIP!A:A,0)),
    IFERROR(
        INDEX([1]釣具商品ship!B:B,MATCH(A822,[1]釣具商品ship!A:A,0)),
        IFERROR(
            INDEX([1]玩具商品ship!B:B,MATCH(A822,[1]玩具商品ship!A:A,0)),
            IFERROR(
                INDEX([1]OEMship!B:B,MATCH(A822,[1]OEMship!A:A,0)),
                IFERROR(
                    INDEX([1]NV6ship!B:B,MATCH(A822,[1]NV6ship!A:A,0)),
                    IFERROR(
                        INDEX([1]NVship!B:B,MATCH(A822,[1]NVship!A:A,0)),
                        IFERROR(
                            INDEX([1]海ship!B:B,MATCH(A822,[1]海ship!A:A,0)),
                            IFERROR(
                                INDEX([1]ｾﾚship!B:B,MATCH(A822,[1]ｾﾚship!A:A,0)),
                                IFERROR(
                                    INDEX([1]ｾﾚﾓﾆｰ商品ship!B:B,MATCH(A822,[1]ｾﾚﾓﾆｰ商品ship!A:A,0)),
                                    INDEX([2]NV!D:D,MATCH(A822,[2]NV!C:C,0))
                                )
                            )
                        )
                    )
                )
            )
        )
    )
)</f>
        <v>ケミホタル50レッド（2本入）3枚セット</v>
      </c>
      <c r="C822" s="16" t="s">
        <v>911</v>
      </c>
      <c r="D822" s="10" t="str">
        <f t="shared" si="36"/>
        <v>ケミホタル50レッド（2本入）3枚セット ｜ 1F釣具部屋【04】 ｜ M</v>
      </c>
      <c r="E822" s="11" t="str">
        <f t="shared" si="39"/>
        <v>1F釣具部屋</v>
      </c>
      <c r="F822" s="12" t="s">
        <v>910</v>
      </c>
      <c r="G822" s="11" t="str">
        <f t="shared" si="40"/>
        <v>04・1F釣具部屋M</v>
      </c>
    </row>
    <row r="823" spans="1:7" ht="15" customHeight="1" x14ac:dyDescent="0.2">
      <c r="A823" s="14" t="s">
        <v>916</v>
      </c>
      <c r="B823" s="10" t="str">
        <f>IFERROR(
    INDEX([1]FSHIP!B:B,MATCH(A823,[1]FSHIP!A:A,0)),
    IFERROR(
        INDEX([1]釣具商品ship!B:B,MATCH(A823,[1]釣具商品ship!A:A,0)),
        IFERROR(
            INDEX([1]玩具商品ship!B:B,MATCH(A823,[1]玩具商品ship!A:A,0)),
            IFERROR(
                INDEX([1]OEMship!B:B,MATCH(A823,[1]OEMship!A:A,0)),
                IFERROR(
                    INDEX([1]NV6ship!B:B,MATCH(A823,[1]NV6ship!A:A,0)),
                    IFERROR(
                        INDEX([1]NVship!B:B,MATCH(A823,[1]NVship!A:A,0)),
                        IFERROR(
                            INDEX([1]海ship!B:B,MATCH(A823,[1]海ship!A:A,0)),
                            IFERROR(
                                INDEX([1]ｾﾚship!B:B,MATCH(A823,[1]ｾﾚship!A:A,0)),
                                IFERROR(
                                    INDEX([1]ｾﾚﾓﾆｰ商品ship!B:B,MATCH(A823,[1]ｾﾚﾓﾆｰ商品ship!A:A,0)),
                                    INDEX([2]NV!D:D,MATCH(A823,[2]NV!C:C,0))
                                )
                            )
                        )
                    )
                )
            )
        )
    )
)</f>
        <v>ケミホタル75レッド（2本入）3枚セット</v>
      </c>
      <c r="C823" s="16" t="s">
        <v>911</v>
      </c>
      <c r="D823" s="10" t="str">
        <f t="shared" ref="D823" si="41">B823&amp;" ｜ "&amp;E823&amp;"【"&amp;F823&amp;"】 ｜ "&amp;C823</f>
        <v>ケミホタル75レッド（2本入）3枚セット ｜ 1F釣具部屋【04】 ｜ M</v>
      </c>
      <c r="E823" s="11" t="str">
        <f t="shared" ref="E823" si="42">INDEX(K:K, MATCH(F823, J:J, 0))</f>
        <v>1F釣具部屋</v>
      </c>
      <c r="F823" s="12" t="s">
        <v>910</v>
      </c>
      <c r="G823" s="11" t="str">
        <f t="shared" ref="G823" si="43">F823&amp;"・"&amp;E823&amp;C823</f>
        <v>04・1F釣具部屋M</v>
      </c>
    </row>
    <row r="824" spans="1:7" ht="15" customHeight="1" x14ac:dyDescent="0.2">
      <c r="A824" s="14" t="s">
        <v>917</v>
      </c>
      <c r="B824" s="10" t="str">
        <f>IFERROR(
    INDEX([1]FSHIP!B:B,MATCH(A824,[1]FSHIP!A:A,0)),
    IFERROR(
        INDEX([1]釣具商品ship!B:B,MATCH(A824,[1]釣具商品ship!A:A,0)),
        IFERROR(
            INDEX([1]玩具商品ship!B:B,MATCH(A824,[1]玩具商品ship!A:A,0)),
            IFERROR(
                INDEX([1]OEMship!B:B,MATCH(A824,[1]OEMship!A:A,0)),
                IFERROR(
                    INDEX([1]NV6ship!B:B,MATCH(A824,[1]NV6ship!A:A,0)),
                    IFERROR(
                        INDEX([1]NVship!B:B,MATCH(A824,[1]NVship!A:A,0)),
                        IFERROR(
                            INDEX([1]海ship!B:B,MATCH(A824,[1]海ship!A:A,0)),
                            IFERROR(
                                INDEX([1]ｾﾚship!B:B,MATCH(A824,[1]ｾﾚship!A:A,0)),
                                IFERROR(
                                    INDEX([1]ｾﾚﾓﾆｰ商品ship!B:B,MATCH(A824,[1]ｾﾚﾓﾆｰ商品ship!A:A,0)),
                                    INDEX([2]NV!D:D,MATCH(A824,[2]NV!C:C,0))
                                )
                            )
                        )
                    )
                )
            )
        )
    )
)</f>
        <v>ウミホタル　ビッグ レッド</v>
      </c>
      <c r="C824" s="16" t="s">
        <v>918</v>
      </c>
      <c r="D824" s="10" t="str">
        <f t="shared" ref="D824:D835" si="44">B824&amp;" ｜ "&amp;E824&amp;"【"&amp;F824&amp;"】 ｜ "&amp;C824</f>
        <v>ウミホタル　ビッグ レッド ｜ 1F釣具部屋【04】 ｜ H</v>
      </c>
      <c r="E824" s="11" t="str">
        <f t="shared" ref="E824:E835" si="45">INDEX(K:K, MATCH(F824, J:J, 0))</f>
        <v>1F釣具部屋</v>
      </c>
      <c r="F824" s="12" t="s">
        <v>919</v>
      </c>
      <c r="G824" s="11" t="str">
        <f t="shared" ref="G824:G835" si="46">F824&amp;"・"&amp;E824&amp;C824</f>
        <v>04・1F釣具部屋H</v>
      </c>
    </row>
    <row r="825" spans="1:7" ht="15" customHeight="1" x14ac:dyDescent="0.2">
      <c r="A825" s="14" t="s">
        <v>920</v>
      </c>
      <c r="B825" s="10" t="str">
        <f>IFERROR(
    INDEX([1]FSHIP!B:B,MATCH(A825,[1]FSHIP!A:A,0)),
    IFERROR(
        INDEX([1]釣具商品ship!B:B,MATCH(A825,[1]釣具商品ship!A:A,0)),
        IFERROR(
            INDEX([1]玩具商品ship!B:B,MATCH(A825,[1]玩具商品ship!A:A,0)),
            IFERROR(
                INDEX([1]OEMship!B:B,MATCH(A825,[1]OEMship!A:A,0)),
                IFERROR(
                    INDEX([1]NV6ship!B:B,MATCH(A825,[1]NV6ship!A:A,0)),
                    IFERROR(
                        INDEX([1]NVship!B:B,MATCH(A825,[1]NVship!A:A,0)),
                        IFERROR(
                            INDEX([1]海ship!B:B,MATCH(A825,[1]海ship!A:A,0)),
                            IFERROR(
                                INDEX([1]ｾﾚship!B:B,MATCH(A825,[1]ｾﾚship!A:A,0)),
                                IFERROR(
                                    INDEX([1]ｾﾚﾓﾆｰ商品ship!B:B,MATCH(A825,[1]ｾﾚﾓﾆｰ商品ship!A:A,0)),
                                    INDEX([2]NV!D:D,MATCH(A825,[2]NV!C:C,0))
                                )
                            )
                        )
                    )
                )
            )
        )
    )
)</f>
        <v>めじるしチャーム（タコ）</v>
      </c>
      <c r="C825" s="16" t="s">
        <v>1</v>
      </c>
      <c r="D825" s="10" t="str">
        <f t="shared" si="44"/>
        <v>めじるしチャーム（タコ） ｜ 1F釣具部屋【04】 ｜ L</v>
      </c>
      <c r="E825" s="11" t="str">
        <f t="shared" si="45"/>
        <v>1F釣具部屋</v>
      </c>
      <c r="F825" s="12" t="s">
        <v>21</v>
      </c>
      <c r="G825" s="11" t="str">
        <f t="shared" si="46"/>
        <v>04・1F釣具部屋L</v>
      </c>
    </row>
    <row r="826" spans="1:7" ht="15" customHeight="1" x14ac:dyDescent="0.2">
      <c r="A826" s="14" t="s">
        <v>921</v>
      </c>
      <c r="B826" s="10" t="str">
        <f>IFERROR(
    INDEX([1]FSHIP!B:B,MATCH(A826,[1]FSHIP!A:A,0)),
    IFERROR(
        INDEX([1]釣具商品ship!B:B,MATCH(A826,[1]釣具商品ship!A:A,0)),
        IFERROR(
            INDEX([1]玩具商品ship!B:B,MATCH(A826,[1]玩具商品ship!A:A,0)),
            IFERROR(
                INDEX([1]OEMship!B:B,MATCH(A826,[1]OEMship!A:A,0)),
                IFERROR(
                    INDEX([1]NV6ship!B:B,MATCH(A826,[1]NV6ship!A:A,0)),
                    IFERROR(
                        INDEX([1]NVship!B:B,MATCH(A826,[1]NVship!A:A,0)),
                        IFERROR(
                            INDEX([1]海ship!B:B,MATCH(A826,[1]海ship!A:A,0)),
                            IFERROR(
                                INDEX([1]ｾﾚship!B:B,MATCH(A826,[1]ｾﾚship!A:A,0)),
                                IFERROR(
                                    INDEX([1]ｾﾚﾓﾆｰ商品ship!B:B,MATCH(A826,[1]ｾﾚﾓﾆｰ商品ship!A:A,0)),
                                    INDEX([2]NV!D:D,MATCH(A826,[2]NV!C:C,0))
                                )
                            )
                        )
                    )
                )
            )
        )
    )
)</f>
        <v>めじるしチャーム（鯵フライ）</v>
      </c>
      <c r="C826" s="16" t="s">
        <v>1</v>
      </c>
      <c r="D826" s="10" t="str">
        <f t="shared" si="44"/>
        <v>めじるしチャーム（鯵フライ） ｜ 1F釣具部屋【04】 ｜ L</v>
      </c>
      <c r="E826" s="11" t="str">
        <f t="shared" si="45"/>
        <v>1F釣具部屋</v>
      </c>
      <c r="F826" s="12" t="s">
        <v>21</v>
      </c>
      <c r="G826" s="11" t="str">
        <f t="shared" si="46"/>
        <v>04・1F釣具部屋L</v>
      </c>
    </row>
    <row r="827" spans="1:7" ht="15" customHeight="1" x14ac:dyDescent="0.2">
      <c r="A827" s="14" t="s">
        <v>922</v>
      </c>
      <c r="B827" s="10" t="str">
        <f>IFERROR(
    INDEX([1]FSHIP!B:B,MATCH(A827,[1]FSHIP!A:A,0)),
    IFERROR(
        INDEX([1]釣具商品ship!B:B,MATCH(A827,[1]釣具商品ship!A:A,0)),
        IFERROR(
            INDEX([1]玩具商品ship!B:B,MATCH(A827,[1]玩具商品ship!A:A,0)),
            IFERROR(
                INDEX([1]OEMship!B:B,MATCH(A827,[1]OEMship!A:A,0)),
                IFERROR(
                    INDEX([1]NV6ship!B:B,MATCH(A827,[1]NV6ship!A:A,0)),
                    IFERROR(
                        INDEX([1]NVship!B:B,MATCH(A827,[1]NVship!A:A,0)),
                        IFERROR(
                            INDEX([1]海ship!B:B,MATCH(A827,[1]海ship!A:A,0)),
                            IFERROR(
                                INDEX([1]ｾﾚship!B:B,MATCH(A827,[1]ｾﾚship!A:A,0)),
                                IFERROR(
                                    INDEX([1]ｾﾚﾓﾆｰ商品ship!B:B,MATCH(A827,[1]ｾﾚﾓﾆｰ商品ship!A:A,0)),
                                    INDEX([2]NV!D:D,MATCH(A827,[2]NV!C:C,0))
                                )
                            )
                        )
                    )
                )
            )
        )
    )
)</f>
        <v>豆アジ（片面）キーホルダー</v>
      </c>
      <c r="C827" s="16" t="s">
        <v>1</v>
      </c>
      <c r="D827" s="10" t="str">
        <f t="shared" si="44"/>
        <v>豆アジ（片面）キーホルダー ｜ 1F釣具部屋【04】 ｜ L</v>
      </c>
      <c r="E827" s="11" t="str">
        <f t="shared" si="45"/>
        <v>1F釣具部屋</v>
      </c>
      <c r="F827" s="12" t="s">
        <v>21</v>
      </c>
      <c r="G827" s="11" t="str">
        <f t="shared" si="46"/>
        <v>04・1F釣具部屋L</v>
      </c>
    </row>
    <row r="828" spans="1:7" ht="15" customHeight="1" x14ac:dyDescent="0.2">
      <c r="A828" s="14" t="s">
        <v>923</v>
      </c>
      <c r="B828" s="10" t="str">
        <f>IFERROR(
    INDEX([1]FSHIP!B:B,MATCH(A828,[1]FSHIP!A:A,0)),
    IFERROR(
        INDEX([1]釣具商品ship!B:B,MATCH(A828,[1]釣具商品ship!A:A,0)),
        IFERROR(
            INDEX([1]玩具商品ship!B:B,MATCH(A828,[1]玩具商品ship!A:A,0)),
            IFERROR(
                INDEX([1]OEMship!B:B,MATCH(A828,[1]OEMship!A:A,0)),
                IFERROR(
                    INDEX([1]NV6ship!B:B,MATCH(A828,[1]NV6ship!A:A,0)),
                    IFERROR(
                        INDEX([1]NVship!B:B,MATCH(A828,[1]NVship!A:A,0)),
                        IFERROR(
                            INDEX([1]海ship!B:B,MATCH(A828,[1]海ship!A:A,0)),
                            IFERROR(
                                INDEX([1]ｾﾚship!B:B,MATCH(A828,[1]ｾﾚship!A:A,0)),
                                IFERROR(
                                    INDEX([1]ｾﾚﾓﾆｰ商品ship!B:B,MATCH(A828,[1]ｾﾚﾓﾆｰ商品ship!A:A,0)),
                                    INDEX([2]NV!D:D,MATCH(A828,[2]NV!C:C,0))
                                )
                            )
                        )
                    )
                )
            )
        )
    )
)</f>
        <v>ニシンの頭（片面）キーホルダー</v>
      </c>
      <c r="C828" s="16" t="s">
        <v>1</v>
      </c>
      <c r="D828" s="10" t="str">
        <f t="shared" si="44"/>
        <v>ニシンの頭（片面）キーホルダー ｜ 1F釣具部屋【04】 ｜ L</v>
      </c>
      <c r="E828" s="11" t="str">
        <f t="shared" si="45"/>
        <v>1F釣具部屋</v>
      </c>
      <c r="F828" s="12" t="s">
        <v>21</v>
      </c>
      <c r="G828" s="11" t="str">
        <f t="shared" si="46"/>
        <v>04・1F釣具部屋L</v>
      </c>
    </row>
    <row r="829" spans="1:7" ht="15" customHeight="1" x14ac:dyDescent="0.2">
      <c r="A829" s="14" t="s">
        <v>924</v>
      </c>
      <c r="B829" s="10" t="str">
        <f>IFERROR(
    INDEX([1]FSHIP!B:B,MATCH(A829,[1]FSHIP!A:A,0)),
    IFERROR(
        INDEX([1]釣具商品ship!B:B,MATCH(A829,[1]釣具商品ship!A:A,0)),
        IFERROR(
            INDEX([1]玩具商品ship!B:B,MATCH(A829,[1]玩具商品ship!A:A,0)),
            IFERROR(
                INDEX([1]OEMship!B:B,MATCH(A829,[1]OEMship!A:A,0)),
                IFERROR(
                    INDEX([1]NV6ship!B:B,MATCH(A829,[1]NV6ship!A:A,0)),
                    IFERROR(
                        INDEX([1]NVship!B:B,MATCH(A829,[1]NVship!A:A,0)),
                        IFERROR(
                            INDEX([1]海ship!B:B,MATCH(A829,[1]海ship!A:A,0)),
                            IFERROR(
                                INDEX([1]ｾﾚship!B:B,MATCH(A829,[1]ｾﾚship!A:A,0)),
                                IFERROR(
                                    INDEX([1]ｾﾚﾓﾆｰ商品ship!B:B,MATCH(A829,[1]ｾﾚﾓﾆｰ商品ship!A:A,0)),
                                    INDEX([2]NV!D:D,MATCH(A829,[2]NV!C:C,0))
                                )
                            )
                        )
                    )
                )
            )
        )
    )
)</f>
        <v>焼秋刀魚の頭（両面）キーホルダー</v>
      </c>
      <c r="C829" s="16" t="s">
        <v>1</v>
      </c>
      <c r="D829" s="10" t="str">
        <f t="shared" si="44"/>
        <v>焼秋刀魚の頭（両面）キーホルダー ｜ 1F釣具部屋【04】 ｜ L</v>
      </c>
      <c r="E829" s="11" t="str">
        <f t="shared" si="45"/>
        <v>1F釣具部屋</v>
      </c>
      <c r="F829" s="12" t="s">
        <v>21</v>
      </c>
      <c r="G829" s="11" t="str">
        <f t="shared" si="46"/>
        <v>04・1F釣具部屋L</v>
      </c>
    </row>
    <row r="830" spans="1:7" ht="15" customHeight="1" x14ac:dyDescent="0.2">
      <c r="B830" s="10" t="e">
        <f>IFERROR(
    INDEX([1]FSHIP!B:B,MATCH(A830,[1]FSHIP!A:A,0)),
    IFERROR(
        INDEX([1]釣具商品ship!B:B,MATCH(A830,[1]釣具商品ship!A:A,0)),
        IFERROR(
            INDEX([1]玩具商品ship!B:B,MATCH(A830,[1]玩具商品ship!A:A,0)),
            IFERROR(
                INDEX([1]OEMship!B:B,MATCH(A830,[1]OEMship!A:A,0)),
                IFERROR(
                    INDEX([1]NV6ship!B:B,MATCH(A830,[1]NV6ship!A:A,0)),
                    IFERROR(
                        INDEX([1]NVship!B:B,MATCH(A830,[1]NVship!A:A,0)),
                        IFERROR(
                            INDEX([1]海ship!B:B,MATCH(A830,[1]海ship!A:A,0)),
                            IFERROR(
                                INDEX([1]ｾﾚship!B:B,MATCH(A830,[1]ｾﾚship!A:A,0)),
                                IFERROR(
                                    INDEX([1]ｾﾚﾓﾆｰ商品ship!B:B,MATCH(A830,[1]ｾﾚﾓﾆｰ商品ship!A:A,0)),
                                    INDEX([2]NV!D:D,MATCH(A830,[2]NV!C:C,0))
                                )
                            )
                        )
                    )
                )
            )
        )
    )
)</f>
        <v>#N/A</v>
      </c>
      <c r="D830" s="10" t="e">
        <f t="shared" si="44"/>
        <v>#N/A</v>
      </c>
      <c r="E830" s="11" t="e">
        <f t="shared" si="45"/>
        <v>#N/A</v>
      </c>
      <c r="F830" s="12"/>
      <c r="G830" s="11" t="e">
        <f t="shared" si="46"/>
        <v>#N/A</v>
      </c>
    </row>
    <row r="831" spans="1:7" ht="15" customHeight="1" x14ac:dyDescent="0.2">
      <c r="B831" s="10" t="e">
        <f>IFERROR(
    INDEX([1]FSHIP!B:B,MATCH(A831,[1]FSHIP!A:A,0)),
    IFERROR(
        INDEX([1]釣具商品ship!B:B,MATCH(A831,[1]釣具商品ship!A:A,0)),
        IFERROR(
            INDEX([1]玩具商品ship!B:B,MATCH(A831,[1]玩具商品ship!A:A,0)),
            IFERROR(
                INDEX([1]OEMship!B:B,MATCH(A831,[1]OEMship!A:A,0)),
                IFERROR(
                    INDEX([1]NV6ship!B:B,MATCH(A831,[1]NV6ship!A:A,0)),
                    IFERROR(
                        INDEX([1]NVship!B:B,MATCH(A831,[1]NVship!A:A,0)),
                        IFERROR(
                            INDEX([1]海ship!B:B,MATCH(A831,[1]海ship!A:A,0)),
                            IFERROR(
                                INDEX([1]ｾﾚship!B:B,MATCH(A831,[1]ｾﾚship!A:A,0)),
                                IFERROR(
                                    INDEX([1]ｾﾚﾓﾆｰ商品ship!B:B,MATCH(A831,[1]ｾﾚﾓﾆｰ商品ship!A:A,0)),
                                    INDEX([2]NV!D:D,MATCH(A831,[2]NV!C:C,0))
                                )
                            )
                        )
                    )
                )
            )
        )
    )
)</f>
        <v>#N/A</v>
      </c>
      <c r="D831" s="10" t="e">
        <f t="shared" si="44"/>
        <v>#N/A</v>
      </c>
      <c r="E831" s="11" t="e">
        <f t="shared" si="45"/>
        <v>#N/A</v>
      </c>
      <c r="F831" s="12"/>
      <c r="G831" s="11" t="e">
        <f t="shared" si="46"/>
        <v>#N/A</v>
      </c>
    </row>
    <row r="832" spans="1:7" ht="15" customHeight="1" x14ac:dyDescent="0.2">
      <c r="B832" s="10" t="e">
        <f>IFERROR(
    INDEX([1]FSHIP!B:B,MATCH(A832,[1]FSHIP!A:A,0)),
    IFERROR(
        INDEX([1]釣具商品ship!B:B,MATCH(A832,[1]釣具商品ship!A:A,0)),
        IFERROR(
            INDEX([1]玩具商品ship!B:B,MATCH(A832,[1]玩具商品ship!A:A,0)),
            IFERROR(
                INDEX([1]OEMship!B:B,MATCH(A832,[1]OEMship!A:A,0)),
                IFERROR(
                    INDEX([1]NV6ship!B:B,MATCH(A832,[1]NV6ship!A:A,0)),
                    IFERROR(
                        INDEX([1]NVship!B:B,MATCH(A832,[1]NVship!A:A,0)),
                        IFERROR(
                            INDEX([1]海ship!B:B,MATCH(A832,[1]海ship!A:A,0)),
                            IFERROR(
                                INDEX([1]ｾﾚship!B:B,MATCH(A832,[1]ｾﾚship!A:A,0)),
                                IFERROR(
                                    INDEX([1]ｾﾚﾓﾆｰ商品ship!B:B,MATCH(A832,[1]ｾﾚﾓﾆｰ商品ship!A:A,0)),
                                    INDEX([2]NV!D:D,MATCH(A832,[2]NV!C:C,0))
                                )
                            )
                        )
                    )
                )
            )
        )
    )
)</f>
        <v>#N/A</v>
      </c>
      <c r="D832" s="10" t="e">
        <f t="shared" si="44"/>
        <v>#N/A</v>
      </c>
      <c r="E832" s="11" t="e">
        <f t="shared" si="45"/>
        <v>#N/A</v>
      </c>
      <c r="F832" s="12"/>
      <c r="G832" s="11" t="e">
        <f t="shared" si="46"/>
        <v>#N/A</v>
      </c>
    </row>
    <row r="833" spans="2:7" ht="15" customHeight="1" x14ac:dyDescent="0.2">
      <c r="B833" s="10" t="e">
        <f>IFERROR(
    INDEX([1]FSHIP!B:B,MATCH(A833,[1]FSHIP!A:A,0)),
    IFERROR(
        INDEX([1]釣具商品ship!B:B,MATCH(A833,[1]釣具商品ship!A:A,0)),
        IFERROR(
            INDEX([1]玩具商品ship!B:B,MATCH(A833,[1]玩具商品ship!A:A,0)),
            IFERROR(
                INDEX([1]OEMship!B:B,MATCH(A833,[1]OEMship!A:A,0)),
                IFERROR(
                    INDEX([1]NV6ship!B:B,MATCH(A833,[1]NV6ship!A:A,0)),
                    IFERROR(
                        INDEX([1]NVship!B:B,MATCH(A833,[1]NVship!A:A,0)),
                        IFERROR(
                            INDEX([1]海ship!B:B,MATCH(A833,[1]海ship!A:A,0)),
                            IFERROR(
                                INDEX([1]ｾﾚship!B:B,MATCH(A833,[1]ｾﾚship!A:A,0)),
                                IFERROR(
                                    INDEX([1]ｾﾚﾓﾆｰ商品ship!B:B,MATCH(A833,[1]ｾﾚﾓﾆｰ商品ship!A:A,0)),
                                    INDEX([2]NV!D:D,MATCH(A833,[2]NV!C:C,0))
                                )
                            )
                        )
                    )
                )
            )
        )
    )
)</f>
        <v>#N/A</v>
      </c>
      <c r="D833" s="10" t="e">
        <f t="shared" si="44"/>
        <v>#N/A</v>
      </c>
      <c r="E833" s="11" t="e">
        <f t="shared" si="45"/>
        <v>#N/A</v>
      </c>
      <c r="F833" s="12"/>
      <c r="G833" s="11" t="e">
        <f t="shared" si="46"/>
        <v>#N/A</v>
      </c>
    </row>
    <row r="834" spans="2:7" ht="15" customHeight="1" x14ac:dyDescent="0.2">
      <c r="B834" s="10" t="e">
        <f>IFERROR(
    INDEX([1]FSHIP!B:B,MATCH(A834,[1]FSHIP!A:A,0)),
    IFERROR(
        INDEX([1]釣具商品ship!B:B,MATCH(A834,[1]釣具商品ship!A:A,0)),
        IFERROR(
            INDEX([1]玩具商品ship!B:B,MATCH(A834,[1]玩具商品ship!A:A,0)),
            IFERROR(
                INDEX([1]OEMship!B:B,MATCH(A834,[1]OEMship!A:A,0)),
                IFERROR(
                    INDEX([1]NV6ship!B:B,MATCH(A834,[1]NV6ship!A:A,0)),
                    IFERROR(
                        INDEX([1]NVship!B:B,MATCH(A834,[1]NVship!A:A,0)),
                        IFERROR(
                            INDEX([1]海ship!B:B,MATCH(A834,[1]海ship!A:A,0)),
                            IFERROR(
                                INDEX([1]ｾﾚship!B:B,MATCH(A834,[1]ｾﾚship!A:A,0)),
                                IFERROR(
                                    INDEX([1]ｾﾚﾓﾆｰ商品ship!B:B,MATCH(A834,[1]ｾﾚﾓﾆｰ商品ship!A:A,0)),
                                    INDEX([2]NV!D:D,MATCH(A834,[2]NV!C:C,0))
                                )
                            )
                        )
                    )
                )
            )
        )
    )
)</f>
        <v>#N/A</v>
      </c>
      <c r="D834" s="10" t="e">
        <f t="shared" si="44"/>
        <v>#N/A</v>
      </c>
      <c r="E834" s="11" t="e">
        <f t="shared" si="45"/>
        <v>#N/A</v>
      </c>
      <c r="F834" s="12"/>
      <c r="G834" s="11" t="e">
        <f t="shared" si="46"/>
        <v>#N/A</v>
      </c>
    </row>
    <row r="835" spans="2:7" ht="15" customHeight="1" x14ac:dyDescent="0.2">
      <c r="B835" s="10" t="e">
        <f>IFERROR(
    INDEX([1]FSHIP!B:B,MATCH(A835,[1]FSHIP!A:A,0)),
    IFERROR(
        INDEX([1]釣具商品ship!B:B,MATCH(A835,[1]釣具商品ship!A:A,0)),
        IFERROR(
            INDEX([1]玩具商品ship!B:B,MATCH(A835,[1]玩具商品ship!A:A,0)),
            IFERROR(
                INDEX([1]OEMship!B:B,MATCH(A835,[1]OEMship!A:A,0)),
                IFERROR(
                    INDEX([1]NV6ship!B:B,MATCH(A835,[1]NV6ship!A:A,0)),
                    IFERROR(
                        INDEX([1]NVship!B:B,MATCH(A835,[1]NVship!A:A,0)),
                        IFERROR(
                            INDEX([1]海ship!B:B,MATCH(A835,[1]海ship!A:A,0)),
                            IFERROR(
                                INDEX([1]ｾﾚship!B:B,MATCH(A835,[1]ｾﾚship!A:A,0)),
                                IFERROR(
                                    INDEX([1]ｾﾚﾓﾆｰ商品ship!B:B,MATCH(A835,[1]ｾﾚﾓﾆｰ商品ship!A:A,0)),
                                    INDEX([2]NV!D:D,MATCH(A835,[2]NV!C:C,0))
                                )
                            )
                        )
                    )
                )
            )
        )
    )
)</f>
        <v>#N/A</v>
      </c>
      <c r="D835" s="10" t="e">
        <f t="shared" si="44"/>
        <v>#N/A</v>
      </c>
      <c r="E835" s="11" t="e">
        <f t="shared" si="45"/>
        <v>#N/A</v>
      </c>
      <c r="F835" s="12"/>
      <c r="G835" s="11" t="e">
        <f t="shared" si="46"/>
        <v>#N/A</v>
      </c>
    </row>
  </sheetData>
  <autoFilter ref="A1:G1" xr:uid="{9043AE76-41AB-4CC1-A42D-6D20541D663E}">
    <sortState xmlns:xlrd2="http://schemas.microsoft.com/office/spreadsheetml/2017/richdata2" ref="A2:G818">
      <sortCondition ref="A1"/>
    </sortState>
  </autoFilter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商品データ</vt:lpstr>
    </vt:vector>
  </TitlesOfParts>
  <Manager/>
  <Company>Lumica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wu</dc:creator>
  <cp:keywords/>
  <dc:description/>
  <cp:lastModifiedBy>吴 梅杰</cp:lastModifiedBy>
  <cp:revision/>
  <dcterms:created xsi:type="dcterms:W3CDTF">2019-10-18T01:22:38Z</dcterms:created>
  <dcterms:modified xsi:type="dcterms:W3CDTF">2026-09-30T05:33:35Z</dcterms:modified>
  <cp:category/>
  <cp:contentStatus/>
</cp:coreProperties>
</file>